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Part List Report" sheetId="3" r:id="rId1"/>
    <sheet name="All Data" sheetId="9" r:id="rId2"/>
    <sheet name="Metric" sheetId="8" r:id="rId3"/>
    <sheet name="Imperial" sheetId="1" r:id="rId4"/>
    <sheet name="Project Information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<sst xmlns="http://schemas.openxmlformats.org/spreadsheetml/2006/main" count="507" uniqueCount="168">
  <si>
    <t>BOM For Manufacture</t>
  </si>
  <si>
    <t>Bill of Materials for Project [Backlight Test Board-V1.0.PrjPcb] (No PCB Document Selected)</t>
  </si>
  <si>
    <t>Designed By:</t>
  </si>
  <si>
    <t>Mobile Phone:</t>
  </si>
  <si>
    <t>Report Date:</t>
  </si>
  <si>
    <t>2026/5/21</t>
  </si>
  <si>
    <t>12:25</t>
  </si>
  <si>
    <t>Print Date:</t>
  </si>
  <si>
    <t>#</t>
  </si>
  <si>
    <t>Comment</t>
  </si>
  <si>
    <t>Designator</t>
  </si>
  <si>
    <t>Description</t>
  </si>
  <si>
    <t>Footprint</t>
  </si>
  <si>
    <t>Quantity</t>
  </si>
  <si>
    <t>0402/100nF</t>
  </si>
  <si>
    <t>C1, C17</t>
  </si>
  <si>
    <t>C1525</t>
  </si>
  <si>
    <t>C0402</t>
  </si>
  <si>
    <t>0805/10uF</t>
  </si>
  <si>
    <t>C2, C3, C6, C11, C13, C14</t>
  </si>
  <si>
    <t>C22367830</t>
  </si>
  <si>
    <t>0805-C</t>
  </si>
  <si>
    <t>0402/1uF</t>
  </si>
  <si>
    <t>C4, C5, C10, C12</t>
  </si>
  <si>
    <t>C6119811</t>
  </si>
  <si>
    <t>0402/4.7uF</t>
  </si>
  <si>
    <t>C8, C9</t>
  </si>
  <si>
    <t>C6119795</t>
  </si>
  <si>
    <t>0402/220nF</t>
  </si>
  <si>
    <t>C15</t>
  </si>
  <si>
    <t>C5159775</t>
  </si>
  <si>
    <t>0402/2.2UF</t>
  </si>
  <si>
    <t>C16</t>
  </si>
  <si>
    <t>C170151</t>
  </si>
  <si>
    <t>SS34/40V</t>
  </si>
  <si>
    <t>D1</t>
  </si>
  <si>
    <t>C7420365</t>
  </si>
  <si>
    <t>SMA_L4.3-W2.6-LS5.0-FD-SS34</t>
  </si>
  <si>
    <t>0603-R 绿灯</t>
  </si>
  <si>
    <t>D2, D3, D5</t>
  </si>
  <si>
    <t>C7496818</t>
  </si>
  <si>
    <t>LED0603-RD_GREEN</t>
  </si>
  <si>
    <t>0603-R 红灯</t>
  </si>
  <si>
    <t>D4</t>
  </si>
  <si>
    <t>C965799</t>
  </si>
  <si>
    <t>LED0603-RD_RED</t>
  </si>
  <si>
    <t>HX-XH2.54-2PZZ</t>
  </si>
  <si>
    <t>J1</t>
  </si>
  <si>
    <t>C42391660</t>
  </si>
  <si>
    <t>CONN-TH_2P-P2.50_HX-2.54MM-2P-ZZ-MS 电源插座2.54MM间距</t>
  </si>
  <si>
    <t>ZX-QC36-4.3TPWD</t>
  </si>
  <si>
    <t>K1, K2</t>
  </si>
  <si>
    <t>C318937</t>
  </si>
  <si>
    <t>SW-SMD_L6.0-W3.5-LS8.0-key</t>
  </si>
  <si>
    <t>10uH</t>
  </si>
  <si>
    <t>L1</t>
  </si>
  <si>
    <t>C167223</t>
  </si>
  <si>
    <t>IND-SMD_L7.3-W6.8</t>
  </si>
  <si>
    <t>ME6211C33M5G-N</t>
  </si>
  <si>
    <t>LDO1</t>
  </si>
  <si>
    <t>C82942</t>
  </si>
  <si>
    <t>8205S</t>
  </si>
  <si>
    <t>Q1</t>
  </si>
  <si>
    <t>C2762930</t>
  </si>
  <si>
    <t>0402/10K</t>
  </si>
  <si>
    <t>R1, R2</t>
  </si>
  <si>
    <t>C2906861</t>
  </si>
  <si>
    <t>0402/0201-R</t>
  </si>
  <si>
    <t>0402/330Ω</t>
  </si>
  <si>
    <t>R3</t>
  </si>
  <si>
    <t>C2930002</t>
  </si>
  <si>
    <t>0402/5.1K/1%</t>
  </si>
  <si>
    <t>R4, R6</t>
  </si>
  <si>
    <t>C2906874</t>
  </si>
  <si>
    <t>0402/2K/1%</t>
  </si>
  <si>
    <t>R5</t>
  </si>
  <si>
    <t>C2909344</t>
  </si>
  <si>
    <t>0402/1K</t>
  </si>
  <si>
    <t>R7, R10, R16, R18, R19</t>
  </si>
  <si>
    <t>C106235</t>
  </si>
  <si>
    <t>0402/200K</t>
  </si>
  <si>
    <t>R8</t>
  </si>
  <si>
    <t>C2906866</t>
  </si>
  <si>
    <t>0402/100K</t>
  </si>
  <si>
    <t>R9, R13, R15, R17</t>
  </si>
  <si>
    <t>C60491</t>
  </si>
  <si>
    <t>0402/4.7K</t>
  </si>
  <si>
    <t>R11</t>
  </si>
  <si>
    <t>C105871</t>
  </si>
  <si>
    <t>0402/1Ω</t>
  </si>
  <si>
    <t>R14</t>
  </si>
  <si>
    <t>C2909329</t>
  </si>
  <si>
    <t>SS-3235S-L2</t>
  </si>
  <si>
    <t>SW1</t>
  </si>
  <si>
    <t>C500056</t>
  </si>
  <si>
    <t>Main Switch</t>
  </si>
  <si>
    <t>DW01</t>
  </si>
  <si>
    <t>U1</t>
  </si>
  <si>
    <t>C351410</t>
  </si>
  <si>
    <t>TC4056A</t>
  </si>
  <si>
    <t>U2</t>
  </si>
  <si>
    <t>C725790</t>
  </si>
  <si>
    <t>ESOP-8_L4.9-W3.9-P1.27-LS6.0-BL-EP-TC4056A</t>
  </si>
  <si>
    <t>TPS61165DBVR</t>
  </si>
  <si>
    <t>U3</t>
  </si>
  <si>
    <t>C58756</t>
  </si>
  <si>
    <t>SOT-23-6_L2.9-W1.6-P0.95-LS2.8-BR-61165</t>
  </si>
  <si>
    <t>TYPE-C 6P</t>
  </si>
  <si>
    <t>USB1</t>
  </si>
  <si>
    <t>C456012</t>
  </si>
  <si>
    <t>TYPE-C-SMD_TYPE-C-6P_1</t>
  </si>
  <si>
    <t>C332664</t>
  </si>
  <si>
    <t>C728435</t>
  </si>
  <si>
    <t>C620463</t>
  </si>
  <si>
    <t>C2090812</t>
  </si>
  <si>
    <t>C2909307</t>
  </si>
  <si>
    <t>C25867</t>
  </si>
  <si>
    <t>#Column Name Error:' Layer</t>
  </si>
  <si>
    <t>#Column Name Error:' Rotation</t>
  </si>
  <si>
    <t>#Column Name Error:' Height(Mil)</t>
  </si>
  <si>
    <t>#Column Name Error:' Height(mm)</t>
  </si>
  <si>
    <t>#Column Name Error:' Center-X(Mil)</t>
  </si>
  <si>
    <t>#Column Name Error:' Center-X(mm)</t>
  </si>
  <si>
    <t>#Column Name Error:' Center-Y(Mil)</t>
  </si>
  <si>
    <t>#Column Name Error:' Center-Y(mm)</t>
  </si>
  <si>
    <t>#Column Name Error:' Pad-X(Mil)</t>
  </si>
  <si>
    <t>#Column Name Error:' Pad-X(mm)</t>
  </si>
  <si>
    <t>#Column Name Error:' Pad-Y(Mil)</t>
  </si>
  <si>
    <t>#Column Name Error:' Pad-Y(mm)</t>
  </si>
  <si>
    <t>#Column Name Error:' Ref-X(Mil)</t>
  </si>
  <si>
    <t>#Column Name Error:' Ref-X(mm)</t>
  </si>
  <si>
    <t>#Column Name Error:' Ref-Y(Mil)</t>
  </si>
  <si>
    <t>#Column Name Error:' Ref-Y(mm)</t>
  </si>
  <si>
    <t>C18</t>
  </si>
  <si>
    <t>NC/0.1uF</t>
  </si>
  <si>
    <t>CON1</t>
  </si>
  <si>
    <t>下载口</t>
  </si>
  <si>
    <t>I1, I2</t>
  </si>
  <si>
    <t>I2C-SCL</t>
  </si>
  <si>
    <t>TEST</t>
  </si>
  <si>
    <t>J2, J3, J4, J6, J7, J?</t>
  </si>
  <si>
    <t>背光焊点</t>
  </si>
  <si>
    <t>R12</t>
  </si>
  <si>
    <t>0402/NC</t>
  </si>
  <si>
    <t>U4</t>
  </si>
  <si>
    <t>GD32E230F8V6</t>
  </si>
  <si>
    <t>Project Full Path</t>
  </si>
  <si>
    <t>Z:\F\Bill的项目文件\13PM和13Pro 14PM和14pro  15pro\背光测试板\Backlight Test Board-V1.0\Backlight Test Board-V1.0.PrjPcb</t>
  </si>
  <si>
    <t>Project Filename</t>
  </si>
  <si>
    <t>Backlight Test Board-V1.0.PrjPcb</t>
  </si>
  <si>
    <t>Variant Name</t>
  </si>
  <si>
    <t>None</t>
  </si>
  <si>
    <t>Data-Source Filename</t>
  </si>
  <si>
    <t>Data-Source Full Path</t>
  </si>
  <si>
    <t>Title</t>
  </si>
  <si>
    <t>Total Quantity</t>
  </si>
  <si>
    <t>62</t>
  </si>
  <si>
    <t>Report Time</t>
  </si>
  <si>
    <t>Report Date</t>
  </si>
  <si>
    <t>Report Date &amp; Tine</t>
  </si>
  <si>
    <t>2026/5/21 12:25</t>
  </si>
  <si>
    <t>Output Name</t>
  </si>
  <si>
    <t>Bill of Materials</t>
  </si>
  <si>
    <t>Output Type</t>
  </si>
  <si>
    <t>BomReport</t>
  </si>
  <si>
    <t>Output Generator Name</t>
  </si>
  <si>
    <t>BOM</t>
  </si>
  <si>
    <t>Output Generator 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</si>
</sst>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[$-C09]dd\-mmm\-yy;@"/>
    <numFmt numFmtId="177" formatCode="[$-409]h:mm:ss\ AM/PM;@"/>
  </numFmts>
  <fonts count="29">
    <font>
      <sz val="10"/>
      <name val="Arial"/>
      <charset val="0"/>
    </font>
    <font>
      <b/>
      <sz val="10"/>
      <name val="Arial"/>
      <charset val="0"/>
    </font>
    <font>
      <b/>
      <sz val="9"/>
      <name val="Arial"/>
      <charset val="0"/>
    </font>
    <font>
      <sz val="8"/>
      <color indexed="12"/>
      <name val="MS Sans Serif"/>
      <charset val="0"/>
    </font>
    <font>
      <b/>
      <sz val="24"/>
      <name val="Arial"/>
      <charset val="0"/>
    </font>
    <font>
      <b/>
      <sz val="12"/>
      <name val="Arial"/>
      <charset val="0"/>
    </font>
    <font>
      <b/>
      <sz val="10"/>
      <name val="宋体"/>
      <charset val="134"/>
    </font>
    <font>
      <sz val="9"/>
      <name val="Arial"/>
      <charset val="0"/>
    </font>
    <font>
      <b/>
      <sz val="8"/>
      <name val="Arial"/>
      <charset val="0"/>
    </font>
    <font>
      <sz val="8"/>
      <name val="Arial"/>
      <charset val="0"/>
    </font>
    <font>
      <u/>
      <sz val="10"/>
      <color indexed="12"/>
      <name val="Arial"/>
      <charset val="0"/>
    </font>
    <font>
      <u/>
      <sz val="10"/>
      <color indexed="36"/>
      <name val="Arial"/>
      <charset val="0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0"/>
      </left>
      <right style="dotted">
        <color indexed="20"/>
      </right>
      <top style="thin">
        <color auto="1"/>
      </top>
      <bottom style="dotted">
        <color indexed="20"/>
      </bottom>
      <diagonal/>
    </border>
    <border>
      <left style="dotted">
        <color indexed="20"/>
      </left>
      <right style="dotted">
        <color indexed="20"/>
      </right>
      <top style="thin">
        <color auto="1"/>
      </top>
      <bottom style="dotted">
        <color indexed="20"/>
      </bottom>
      <diagonal/>
    </border>
    <border>
      <left style="dotted">
        <color indexed="20"/>
      </left>
      <right style="thin">
        <color indexed="20"/>
      </right>
      <top style="thin">
        <color auto="1"/>
      </top>
      <bottom style="dotted">
        <color indexed="20"/>
      </bottom>
      <diagonal/>
    </border>
    <border>
      <left style="thin">
        <color indexed="20"/>
      </left>
      <right style="dotted">
        <color indexed="20"/>
      </right>
      <top style="dotted">
        <color indexed="20"/>
      </top>
      <bottom style="dotted">
        <color indexed="20"/>
      </bottom>
      <diagonal/>
    </border>
    <border>
      <left style="dotted">
        <color indexed="20"/>
      </left>
      <right style="dotted">
        <color indexed="20"/>
      </right>
      <top style="dotted">
        <color indexed="20"/>
      </top>
      <bottom style="dotted">
        <color indexed="20"/>
      </bottom>
      <diagonal/>
    </border>
    <border>
      <left style="dotted">
        <color indexed="20"/>
      </left>
      <right style="thin">
        <color indexed="20"/>
      </right>
      <top style="dotted">
        <color indexed="20"/>
      </top>
      <bottom style="dotted">
        <color indexed="20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2"/>
      </bottom>
      <diagonal/>
    </border>
    <border>
      <left/>
      <right style="thin">
        <color auto="1"/>
      </right>
      <top/>
      <bottom style="medium">
        <color indexed="62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0" fillId="5" borderId="29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30" applyNumberFormat="0" applyFill="0" applyAlignment="0" applyProtection="0"/>
    <xf numFmtId="0" fontId="16" fillId="0" borderId="31" applyNumberFormat="0" applyFill="0" applyAlignment="0" applyProtection="0"/>
    <xf numFmtId="0" fontId="17" fillId="0" borderId="32" applyNumberFormat="0" applyFill="0" applyAlignment="0" applyProtection="0"/>
    <xf numFmtId="0" fontId="17" fillId="0" borderId="0" applyNumberFormat="0" applyFill="0" applyBorder="0" applyAlignment="0" applyProtection="0"/>
    <xf numFmtId="0" fontId="18" fillId="6" borderId="33" applyNumberFormat="0" applyAlignment="0" applyProtection="0"/>
    <xf numFmtId="0" fontId="19" fillId="7" borderId="34" applyNumberFormat="0" applyAlignment="0" applyProtection="0"/>
    <xf numFmtId="0" fontId="20" fillId="7" borderId="33" applyNumberFormat="0" applyAlignment="0" applyProtection="0"/>
    <xf numFmtId="0" fontId="21" fillId="8" borderId="35" applyNumberFormat="0" applyAlignment="0" applyProtection="0"/>
    <xf numFmtId="0" fontId="22" fillId="0" borderId="36" applyNumberFormat="0" applyFill="0" applyAlignment="0" applyProtection="0"/>
    <xf numFmtId="0" fontId="23" fillId="0" borderId="37" applyNumberFormat="0" applyFill="0" applyAlignment="0" applyProtection="0"/>
    <xf numFmtId="0" fontId="24" fillId="9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7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27" fillId="35" borderId="0" applyNumberFormat="0" applyBorder="0" applyAlignment="0" applyProtection="0"/>
  </cellStyleXfs>
  <cellXfs count="7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2" fillId="2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right"/>
    </xf>
    <xf numFmtId="0" fontId="3" fillId="4" borderId="10" xfId="0" applyFont="1" applyFill="1" applyBorder="1" applyAlignment="1">
      <alignment horizontal="right"/>
    </xf>
    <xf numFmtId="0" fontId="3" fillId="4" borderId="11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right"/>
    </xf>
    <xf numFmtId="0" fontId="3" fillId="4" borderId="13" xfId="0" applyFont="1" applyFill="1" applyBorder="1" applyAlignment="1">
      <alignment horizontal="right"/>
    </xf>
    <xf numFmtId="0" fontId="3" fillId="4" borderId="8" xfId="0" applyFont="1" applyFill="1" applyBorder="1" applyAlignment="1">
      <alignment horizontal="left" wrapText="1"/>
    </xf>
    <xf numFmtId="0" fontId="3" fillId="4" borderId="9" xfId="0" applyFont="1" applyFill="1" applyBorder="1" applyAlignment="1">
      <alignment horizontal="left" wrapText="1"/>
    </xf>
    <xf numFmtId="0" fontId="3" fillId="4" borderId="9" xfId="0" applyFont="1" applyFill="1" applyBorder="1" applyAlignment="1">
      <alignment horizontal="right" wrapText="1"/>
    </xf>
    <xf numFmtId="0" fontId="3" fillId="4" borderId="10" xfId="0" applyFont="1" applyFill="1" applyBorder="1" applyAlignment="1">
      <alignment horizontal="right" wrapText="1"/>
    </xf>
    <xf numFmtId="0" fontId="3" fillId="4" borderId="11" xfId="0" applyFont="1" applyFill="1" applyBorder="1" applyAlignment="1">
      <alignment horizontal="left" wrapText="1"/>
    </xf>
    <xf numFmtId="0" fontId="3" fillId="4" borderId="12" xfId="0" applyFont="1" applyFill="1" applyBorder="1" applyAlignment="1">
      <alignment horizontal="left" wrapText="1"/>
    </xf>
    <xf numFmtId="0" fontId="3" fillId="4" borderId="12" xfId="0" applyFont="1" applyFill="1" applyBorder="1" applyAlignment="1">
      <alignment horizontal="right" wrapText="1"/>
    </xf>
    <xf numFmtId="0" fontId="3" fillId="4" borderId="13" xfId="0" applyFont="1" applyFill="1" applyBorder="1" applyAlignment="1">
      <alignment horizontal="right"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3" borderId="14" xfId="0" applyFill="1" applyBorder="1" applyAlignment="1"/>
    <xf numFmtId="0" fontId="0" fillId="3" borderId="15" xfId="0" applyFill="1" applyBorder="1" applyAlignment="1"/>
    <xf numFmtId="0" fontId="0" fillId="3" borderId="16" xfId="0" applyFill="1" applyBorder="1" applyAlignment="1"/>
    <xf numFmtId="0" fontId="4" fillId="0" borderId="0" xfId="0" applyFont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8" xfId="0" applyFont="1" applyFill="1" applyBorder="1" applyAlignment="1">
      <alignment vertical="center"/>
    </xf>
    <xf numFmtId="0" fontId="0" fillId="3" borderId="18" xfId="0" applyFill="1" applyBorder="1" applyAlignment="1"/>
    <xf numFmtId="0" fontId="0" fillId="3" borderId="19" xfId="0" applyFill="1" applyBorder="1" applyAlignment="1"/>
    <xf numFmtId="0" fontId="1" fillId="0" borderId="0" xfId="0" applyFont="1" applyBorder="1" applyAlignment="1"/>
    <xf numFmtId="0" fontId="6" fillId="0" borderId="0" xfId="0" applyFont="1" applyBorder="1" applyAlignment="1">
      <alignment horizontal="left"/>
    </xf>
    <xf numFmtId="0" fontId="0" fillId="0" borderId="0" xfId="0" applyBorder="1" applyAlignment="1"/>
    <xf numFmtId="0" fontId="0" fillId="0" borderId="20" xfId="0" applyBorder="1" applyAlignment="1"/>
    <xf numFmtId="0" fontId="1" fillId="0" borderId="21" xfId="0" applyFont="1" applyBorder="1" applyAlignment="1">
      <alignment horizontal="left"/>
    </xf>
    <xf numFmtId="0" fontId="1" fillId="0" borderId="22" xfId="0" applyFont="1" applyBorder="1" applyAlignment="1"/>
    <xf numFmtId="0" fontId="1" fillId="0" borderId="22" xfId="0" applyFont="1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2" xfId="0" applyBorder="1" applyAlignment="1"/>
    <xf numFmtId="0" fontId="0" fillId="0" borderId="23" xfId="0" applyBorder="1" applyAlignment="1"/>
    <xf numFmtId="0" fontId="7" fillId="0" borderId="24" xfId="0" applyFont="1" applyBorder="1" applyAlignment="1"/>
    <xf numFmtId="0" fontId="0" fillId="0" borderId="15" xfId="0" applyBorder="1" applyAlignment="1">
      <alignment horizontal="left"/>
    </xf>
    <xf numFmtId="0" fontId="7" fillId="0" borderId="0" xfId="0" applyFont="1" applyBorder="1" applyAlignment="1"/>
    <xf numFmtId="0" fontId="7" fillId="0" borderId="20" xfId="0" applyFont="1" applyBorder="1" applyAlignment="1"/>
    <xf numFmtId="0" fontId="0" fillId="0" borderId="24" xfId="0" applyBorder="1" applyAlignment="1"/>
    <xf numFmtId="176" fontId="0" fillId="0" borderId="22" xfId="0" applyNumberFormat="1" applyBorder="1" applyAlignment="1">
      <alignment horizontal="left"/>
    </xf>
    <xf numFmtId="177" fontId="0" fillId="0" borderId="22" xfId="0" applyNumberFormat="1" applyBorder="1" applyAlignment="1">
      <alignment horizontal="left"/>
    </xf>
    <xf numFmtId="0" fontId="8" fillId="2" borderId="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6" xfId="0" applyFont="1" applyBorder="1" applyAlignment="1">
      <alignment vertical="center" wrapText="1"/>
    </xf>
    <xf numFmtId="49" fontId="9" fillId="0" borderId="26" xfId="0" applyNumberFormat="1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49" fontId="9" fillId="0" borderId="27" xfId="0" applyNumberFormat="1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left" vertical="center" wrapText="1"/>
    </xf>
    <xf numFmtId="49" fontId="9" fillId="0" borderId="28" xfId="0" applyNumberFormat="1" applyFont="1" applyBorder="1" applyAlignment="1">
      <alignment horizontal="left" vertical="center" wrapText="1"/>
    </xf>
    <xf numFmtId="0" fontId="0" fillId="0" borderId="25" xfId="0" applyBorder="1" applyAlignment="1">
      <alignment vertical="top"/>
    </xf>
    <xf numFmtId="0" fontId="0" fillId="0" borderId="25" xfId="0" applyBorder="1" applyAlignment="1">
      <alignment horizontal="left" vertical="top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17" xfId="0" applyFont="1" applyFill="1" applyBorder="1" applyAlignment="1" quotePrefix="1">
      <alignment vertical="center"/>
    </xf>
    <xf numFmtId="0" fontId="0" fillId="0" borderId="15" xfId="0" applyBorder="1" applyAlignment="1" quotePrefix="1">
      <alignment horizontal="left"/>
    </xf>
    <xf numFmtId="0" fontId="0" fillId="2" borderId="2" xfId="0" applyFill="1" applyBorder="1" applyAlignment="1" quotePrefix="1">
      <alignment horizontal="left" vertical="center"/>
    </xf>
    <xf numFmtId="0" fontId="0" fillId="3" borderId="4" xfId="0" applyFill="1" applyBorder="1" applyAlignment="1" quotePrefix="1">
      <alignment horizontal="left" vertical="center"/>
    </xf>
    <xf numFmtId="0" fontId="0" fillId="2" borderId="4" xfId="0" applyFill="1" applyBorder="1" applyAlignment="1" quotePrefix="1">
      <alignment horizontal="left" vertical="center"/>
    </xf>
    <xf numFmtId="0" fontId="0" fillId="3" borderId="6" xfId="0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99"/>
      <color rgb="00FFFFFF"/>
      <color rgb="00CCFF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showGridLines="0" tabSelected="1" zoomScale="115" zoomScaleNormal="115" topLeftCell="A4" workbookViewId="0">
      <selection activeCell="H16" sqref="H16"/>
    </sheetView>
  </sheetViews>
  <sheetFormatPr defaultColWidth="9.11428571428571" defaultRowHeight="12.75" outlineLevelCol="5"/>
  <cols>
    <col min="1" max="1" width="18.447619047619" style="30" customWidth="1"/>
    <col min="2" max="2" width="29.552380952381" style="31" customWidth="1"/>
    <col min="3" max="3" width="20.1142857142857" style="31" customWidth="1"/>
    <col min="4" max="4" width="20.1142857142857" style="30" customWidth="1"/>
    <col min="5" max="5" width="31" style="30" customWidth="1"/>
    <col min="6" max="6" width="16.447619047619" style="30" customWidth="1"/>
    <col min="7" max="16384" width="9.11428571428571" style="30"/>
  </cols>
  <sheetData>
    <row r="1" ht="13.5" spans="1:6">
      <c r="A1" s="32"/>
      <c r="B1" s="32"/>
      <c r="C1" s="33"/>
      <c r="D1" s="33"/>
      <c r="E1" s="33"/>
      <c r="F1" s="34"/>
    </row>
    <row r="2" ht="37.5" customHeight="1" spans="1:6">
      <c r="A2" s="35" t="s">
        <v>0</v>
      </c>
      <c r="B2" s="35"/>
      <c r="C2" s="72" t="s">
        <v>1</v>
      </c>
      <c r="D2" s="37"/>
      <c r="E2" s="38"/>
      <c r="F2" s="39"/>
    </row>
    <row r="3" ht="23.25" customHeight="1" spans="1:6">
      <c r="A3" s="40" t="s">
        <v>2</v>
      </c>
      <c r="B3" s="41"/>
      <c r="C3" s="40"/>
      <c r="E3" s="42"/>
      <c r="F3" s="43"/>
    </row>
    <row r="4" ht="17.25" customHeight="1" spans="1:6">
      <c r="A4" s="40" t="s">
        <v>3</v>
      </c>
      <c r="B4" s="44"/>
      <c r="C4" s="42"/>
      <c r="E4" s="42"/>
      <c r="F4" s="43"/>
    </row>
    <row r="5" spans="1:6">
      <c r="A5" s="45"/>
      <c r="B5" s="45"/>
      <c r="C5" s="46"/>
      <c r="D5" s="47"/>
      <c r="E5" s="48"/>
      <c r="F5" s="49"/>
    </row>
    <row r="6" ht="15.75" customHeight="1" spans="1:6">
      <c r="A6" s="50" t="s">
        <v>4</v>
      </c>
      <c r="B6" s="73" t="s">
        <v>5</v>
      </c>
      <c r="C6" s="73" t="s">
        <v>6</v>
      </c>
      <c r="D6" s="51"/>
      <c r="E6" s="52"/>
      <c r="F6" s="53"/>
    </row>
    <row r="7" ht="15.75" customHeight="1" spans="1:6">
      <c r="A7" s="54" t="s">
        <v>7</v>
      </c>
      <c r="B7" s="55">
        <f ca="1">TODAY()</f>
        <v>46163</v>
      </c>
      <c r="C7" s="56">
        <f ca="1">NOW()</f>
        <v>46163.6426388889</v>
      </c>
      <c r="D7" s="56"/>
      <c r="E7" s="52"/>
      <c r="F7" s="53"/>
    </row>
    <row r="8" s="28" customFormat="1" ht="18" customHeight="1" spans="1:6">
      <c r="A8" s="57" t="s">
        <v>8</v>
      </c>
      <c r="B8" s="57" t="s">
        <v>9</v>
      </c>
      <c r="C8" s="57" t="s">
        <v>10</v>
      </c>
      <c r="D8" s="57" t="s">
        <v>11</v>
      </c>
      <c r="E8" s="57" t="s">
        <v>12</v>
      </c>
      <c r="F8" s="58" t="s">
        <v>13</v>
      </c>
    </row>
    <row r="9" s="29" customFormat="1" spans="1:6">
      <c r="A9" s="59">
        <f>ROW(A9)-ROW($B$8)</f>
        <v>1</v>
      </c>
      <c r="B9" s="59" t="s">
        <v>14</v>
      </c>
      <c r="C9" s="60" t="s">
        <v>15</v>
      </c>
      <c r="D9" s="60" t="s">
        <v>16</v>
      </c>
      <c r="E9" s="61" t="s">
        <v>17</v>
      </c>
      <c r="F9" s="59">
        <v>50</v>
      </c>
    </row>
    <row r="10" s="29" customFormat="1" spans="1:6">
      <c r="A10" s="62">
        <f>ROW(A10)-ROW($B$8)</f>
        <v>2</v>
      </c>
      <c r="B10" s="62" t="s">
        <v>18</v>
      </c>
      <c r="C10" s="63" t="s">
        <v>19</v>
      </c>
      <c r="D10" s="63" t="s">
        <v>20</v>
      </c>
      <c r="E10" s="64" t="s">
        <v>21</v>
      </c>
      <c r="F10" s="62">
        <v>50</v>
      </c>
    </row>
    <row r="11" s="29" customFormat="1" spans="1:6">
      <c r="A11" s="59">
        <f>ROW(A11)-ROW($B$8)</f>
        <v>3</v>
      </c>
      <c r="B11" s="59" t="s">
        <v>22</v>
      </c>
      <c r="C11" s="60" t="s">
        <v>23</v>
      </c>
      <c r="D11" s="60" t="s">
        <v>24</v>
      </c>
      <c r="E11" s="61" t="s">
        <v>17</v>
      </c>
      <c r="F11" s="62">
        <v>51</v>
      </c>
    </row>
    <row r="12" s="29" customFormat="1" spans="1:6">
      <c r="A12" s="62">
        <f>ROW(A12)-ROW($B$8)</f>
        <v>4</v>
      </c>
      <c r="B12" s="62" t="s">
        <v>25</v>
      </c>
      <c r="C12" s="63" t="s">
        <v>26</v>
      </c>
      <c r="D12" s="63" t="s">
        <v>27</v>
      </c>
      <c r="E12" s="64" t="s">
        <v>17</v>
      </c>
      <c r="F12" s="62">
        <v>52</v>
      </c>
    </row>
    <row r="13" s="29" customFormat="1" spans="1:6">
      <c r="A13" s="59">
        <f>ROW(A13)-ROW($B$8)</f>
        <v>5</v>
      </c>
      <c r="B13" s="59" t="s">
        <v>28</v>
      </c>
      <c r="C13" s="60" t="s">
        <v>29</v>
      </c>
      <c r="D13" s="60" t="s">
        <v>30</v>
      </c>
      <c r="E13" s="61" t="s">
        <v>17</v>
      </c>
      <c r="F13" s="62">
        <v>53</v>
      </c>
    </row>
    <row r="14" s="29" customFormat="1" spans="1:6">
      <c r="A14" s="62">
        <f>ROW(A14)-ROW($B$8)</f>
        <v>6</v>
      </c>
      <c r="B14" s="62" t="s">
        <v>31</v>
      </c>
      <c r="C14" s="63" t="s">
        <v>32</v>
      </c>
      <c r="D14" s="63" t="s">
        <v>33</v>
      </c>
      <c r="E14" s="64" t="s">
        <v>17</v>
      </c>
      <c r="F14" s="62">
        <v>54</v>
      </c>
    </row>
    <row r="15" s="29" customFormat="1" spans="1:6">
      <c r="A15" s="59">
        <f>ROW(A15)-ROW($B$8)</f>
        <v>7</v>
      </c>
      <c r="B15" s="59" t="s">
        <v>34</v>
      </c>
      <c r="C15" s="60" t="s">
        <v>35</v>
      </c>
      <c r="D15" s="60" t="s">
        <v>36</v>
      </c>
      <c r="E15" s="61" t="s">
        <v>37</v>
      </c>
      <c r="F15" s="59">
        <v>20</v>
      </c>
    </row>
    <row r="16" s="29" customFormat="1" spans="1:6">
      <c r="A16" s="62">
        <f>ROW(A16)-ROW($B$8)</f>
        <v>8</v>
      </c>
      <c r="B16" s="62" t="s">
        <v>38</v>
      </c>
      <c r="C16" s="63" t="s">
        <v>39</v>
      </c>
      <c r="D16" s="63" t="s">
        <v>40</v>
      </c>
      <c r="E16" s="64" t="s">
        <v>41</v>
      </c>
      <c r="F16" s="62">
        <v>50</v>
      </c>
    </row>
    <row r="17" s="29" customFormat="1" spans="1:6">
      <c r="A17" s="59">
        <f>ROW(A17)-ROW($B$8)</f>
        <v>9</v>
      </c>
      <c r="B17" s="59" t="s">
        <v>42</v>
      </c>
      <c r="C17" s="60" t="s">
        <v>43</v>
      </c>
      <c r="D17" s="60" t="s">
        <v>44</v>
      </c>
      <c r="E17" s="61" t="s">
        <v>45</v>
      </c>
      <c r="F17" s="59">
        <v>50</v>
      </c>
    </row>
    <row r="18" s="29" customFormat="1" ht="22.5" spans="1:6">
      <c r="A18" s="59">
        <f>ROW(A18)-ROW($B$8)</f>
        <v>10</v>
      </c>
      <c r="B18" s="59" t="s">
        <v>46</v>
      </c>
      <c r="C18" s="60" t="s">
        <v>47</v>
      </c>
      <c r="D18" s="60" t="s">
        <v>48</v>
      </c>
      <c r="E18" s="61" t="s">
        <v>49</v>
      </c>
      <c r="F18" s="59">
        <v>20</v>
      </c>
    </row>
    <row r="19" s="29" customFormat="1" spans="1:6">
      <c r="A19" s="59">
        <f t="shared" ref="A19:A38" si="0">ROW(A19)-ROW($B$8)</f>
        <v>11</v>
      </c>
      <c r="B19" s="59" t="s">
        <v>50</v>
      </c>
      <c r="C19" s="60" t="s">
        <v>51</v>
      </c>
      <c r="D19" s="60" t="s">
        <v>52</v>
      </c>
      <c r="E19" s="61" t="s">
        <v>53</v>
      </c>
      <c r="F19" s="59">
        <v>20</v>
      </c>
    </row>
    <row r="20" s="29" customFormat="1" spans="1:6">
      <c r="A20" s="62">
        <f t="shared" si="0"/>
        <v>12</v>
      </c>
      <c r="B20" s="62" t="s">
        <v>54</v>
      </c>
      <c r="C20" s="63" t="s">
        <v>55</v>
      </c>
      <c r="D20" s="63" t="s">
        <v>56</v>
      </c>
      <c r="E20" s="64" t="s">
        <v>57</v>
      </c>
      <c r="F20" s="62">
        <v>20</v>
      </c>
    </row>
    <row r="21" s="29" customFormat="1" spans="1:6">
      <c r="A21" s="59">
        <f t="shared" si="0"/>
        <v>13</v>
      </c>
      <c r="B21" s="59" t="s">
        <v>58</v>
      </c>
      <c r="C21" s="60" t="s">
        <v>59</v>
      </c>
      <c r="D21" s="60" t="s">
        <v>60</v>
      </c>
      <c r="E21" s="61" t="s">
        <v>58</v>
      </c>
      <c r="F21" s="59">
        <v>20</v>
      </c>
    </row>
    <row r="22" s="29" customFormat="1" spans="1:6">
      <c r="A22" s="62">
        <f t="shared" si="0"/>
        <v>14</v>
      </c>
      <c r="B22" s="62" t="s">
        <v>61</v>
      </c>
      <c r="C22" s="63" t="s">
        <v>62</v>
      </c>
      <c r="D22" s="63" t="s">
        <v>63</v>
      </c>
      <c r="E22" s="64" t="s">
        <v>61</v>
      </c>
      <c r="F22" s="62">
        <v>20</v>
      </c>
    </row>
    <row r="23" s="29" customFormat="1" spans="1:6">
      <c r="A23" s="59">
        <f t="shared" si="0"/>
        <v>15</v>
      </c>
      <c r="B23" s="59" t="s">
        <v>64</v>
      </c>
      <c r="C23" s="60" t="s">
        <v>65</v>
      </c>
      <c r="D23" s="60" t="s">
        <v>66</v>
      </c>
      <c r="E23" s="61" t="s">
        <v>67</v>
      </c>
      <c r="F23" s="59">
        <v>50</v>
      </c>
    </row>
    <row r="24" s="29" customFormat="1" spans="1:6">
      <c r="A24" s="62">
        <f t="shared" si="0"/>
        <v>16</v>
      </c>
      <c r="B24" s="62" t="s">
        <v>68</v>
      </c>
      <c r="C24" s="63" t="s">
        <v>69</v>
      </c>
      <c r="D24" s="63" t="s">
        <v>70</v>
      </c>
      <c r="E24" s="64" t="s">
        <v>67</v>
      </c>
      <c r="F24" s="62">
        <v>20</v>
      </c>
    </row>
    <row r="25" s="29" customFormat="1" spans="1:6">
      <c r="A25" s="59">
        <f t="shared" si="0"/>
        <v>17</v>
      </c>
      <c r="B25" s="59" t="s">
        <v>71</v>
      </c>
      <c r="C25" s="60" t="s">
        <v>72</v>
      </c>
      <c r="D25" s="60" t="s">
        <v>73</v>
      </c>
      <c r="E25" s="61" t="s">
        <v>67</v>
      </c>
      <c r="F25" s="59">
        <v>50</v>
      </c>
    </row>
    <row r="26" s="29" customFormat="1" spans="1:6">
      <c r="A26" s="62">
        <f t="shared" si="0"/>
        <v>18</v>
      </c>
      <c r="B26" s="62" t="s">
        <v>74</v>
      </c>
      <c r="C26" s="63" t="s">
        <v>75</v>
      </c>
      <c r="D26" s="63" t="s">
        <v>76</v>
      </c>
      <c r="E26" s="64" t="s">
        <v>67</v>
      </c>
      <c r="F26" s="62">
        <v>50</v>
      </c>
    </row>
    <row r="27" s="29" customFormat="1" spans="1:6">
      <c r="A27" s="59">
        <f t="shared" si="0"/>
        <v>19</v>
      </c>
      <c r="B27" s="59" t="s">
        <v>77</v>
      </c>
      <c r="C27" s="60" t="s">
        <v>78</v>
      </c>
      <c r="D27" s="60" t="s">
        <v>79</v>
      </c>
      <c r="E27" s="61" t="s">
        <v>67</v>
      </c>
      <c r="F27" s="59">
        <v>50</v>
      </c>
    </row>
    <row r="28" s="29" customFormat="1" spans="1:6">
      <c r="A28" s="62">
        <f t="shared" si="0"/>
        <v>20</v>
      </c>
      <c r="B28" s="62" t="s">
        <v>80</v>
      </c>
      <c r="C28" s="63" t="s">
        <v>81</v>
      </c>
      <c r="D28" s="63" t="s">
        <v>82</v>
      </c>
      <c r="E28" s="64" t="s">
        <v>67</v>
      </c>
      <c r="F28" s="62">
        <v>20</v>
      </c>
    </row>
    <row r="29" s="29" customFormat="1" spans="1:6">
      <c r="A29" s="59">
        <f t="shared" si="0"/>
        <v>21</v>
      </c>
      <c r="B29" s="59" t="s">
        <v>83</v>
      </c>
      <c r="C29" s="60" t="s">
        <v>84</v>
      </c>
      <c r="D29" s="60" t="s">
        <v>85</v>
      </c>
      <c r="E29" s="61" t="s">
        <v>67</v>
      </c>
      <c r="F29" s="59">
        <v>50</v>
      </c>
    </row>
    <row r="30" s="29" customFormat="1" spans="1:6">
      <c r="A30" s="62">
        <f t="shared" si="0"/>
        <v>22</v>
      </c>
      <c r="B30" s="62" t="s">
        <v>86</v>
      </c>
      <c r="C30" s="63" t="s">
        <v>87</v>
      </c>
      <c r="D30" s="63" t="s">
        <v>88</v>
      </c>
      <c r="E30" s="64" t="s">
        <v>67</v>
      </c>
      <c r="F30" s="62">
        <v>20</v>
      </c>
    </row>
    <row r="31" s="29" customFormat="1" spans="1:6">
      <c r="A31" s="62">
        <f>ROW(A31)-ROW($B$8)</f>
        <v>23</v>
      </c>
      <c r="B31" s="62" t="s">
        <v>89</v>
      </c>
      <c r="C31" s="63" t="s">
        <v>90</v>
      </c>
      <c r="D31" s="63" t="s">
        <v>91</v>
      </c>
      <c r="E31" s="64" t="s">
        <v>67</v>
      </c>
      <c r="F31" s="62">
        <v>20</v>
      </c>
    </row>
    <row r="32" s="29" customFormat="1" spans="1:6">
      <c r="A32" s="59">
        <f>ROW(A32)-ROW($B$8)</f>
        <v>24</v>
      </c>
      <c r="B32" s="59" t="s">
        <v>92</v>
      </c>
      <c r="C32" s="60" t="s">
        <v>93</v>
      </c>
      <c r="D32" s="60" t="s">
        <v>94</v>
      </c>
      <c r="E32" s="61" t="s">
        <v>95</v>
      </c>
      <c r="F32" s="59">
        <v>20</v>
      </c>
    </row>
    <row r="33" s="29" customFormat="1" spans="1:6">
      <c r="A33" s="62">
        <f>ROW(A33)-ROW($B$8)</f>
        <v>25</v>
      </c>
      <c r="B33" s="62" t="s">
        <v>96</v>
      </c>
      <c r="C33" s="63" t="s">
        <v>97</v>
      </c>
      <c r="D33" s="63" t="s">
        <v>98</v>
      </c>
      <c r="E33" s="64" t="s">
        <v>96</v>
      </c>
      <c r="F33" s="62">
        <v>20</v>
      </c>
    </row>
    <row r="34" s="29" customFormat="1" ht="22.5" spans="1:6">
      <c r="A34" s="59">
        <f>ROW(A34)-ROW($B$8)</f>
        <v>26</v>
      </c>
      <c r="B34" s="59" t="s">
        <v>99</v>
      </c>
      <c r="C34" s="60" t="s">
        <v>100</v>
      </c>
      <c r="D34" s="60" t="s">
        <v>101</v>
      </c>
      <c r="E34" s="61" t="s">
        <v>102</v>
      </c>
      <c r="F34" s="59">
        <v>20</v>
      </c>
    </row>
    <row r="35" s="29" customFormat="1" ht="22.5" spans="1:6">
      <c r="A35" s="62">
        <f>ROW(A35)-ROW($B$8)</f>
        <v>27</v>
      </c>
      <c r="B35" s="62" t="s">
        <v>103</v>
      </c>
      <c r="C35" s="63" t="s">
        <v>104</v>
      </c>
      <c r="D35" s="63" t="s">
        <v>105</v>
      </c>
      <c r="E35" s="64" t="s">
        <v>106</v>
      </c>
      <c r="F35" s="62">
        <v>20</v>
      </c>
    </row>
    <row r="36" s="29" customFormat="1" spans="1:6">
      <c r="A36" s="65">
        <f>ROW(A36)-ROW($B$8)</f>
        <v>28</v>
      </c>
      <c r="B36" s="65" t="s">
        <v>107</v>
      </c>
      <c r="C36" s="66" t="s">
        <v>108</v>
      </c>
      <c r="D36" s="66" t="s">
        <v>109</v>
      </c>
      <c r="E36" s="67" t="s">
        <v>110</v>
      </c>
      <c r="F36" s="65">
        <v>20</v>
      </c>
    </row>
    <row r="37" spans="1:6">
      <c r="A37" s="68"/>
      <c r="B37" s="69"/>
      <c r="C37" s="69"/>
      <c r="D37" s="68" t="s">
        <v>111</v>
      </c>
      <c r="E37" s="68"/>
      <c r="F37" s="70">
        <v>20</v>
      </c>
    </row>
    <row r="38" spans="1:6">
      <c r="A38" s="68"/>
      <c r="B38" s="69"/>
      <c r="C38" s="69"/>
      <c r="D38" s="68" t="s">
        <v>112</v>
      </c>
      <c r="E38" s="68"/>
      <c r="F38" s="70">
        <v>20</v>
      </c>
    </row>
    <row r="39" spans="1:6">
      <c r="A39" s="68"/>
      <c r="B39" s="69"/>
      <c r="C39" s="69"/>
      <c r="D39" s="68" t="s">
        <v>113</v>
      </c>
      <c r="E39" s="68"/>
      <c r="F39" s="70">
        <v>20</v>
      </c>
    </row>
    <row r="40" spans="1:6">
      <c r="A40" s="68"/>
      <c r="B40" s="69"/>
      <c r="C40" s="69"/>
      <c r="D40" s="68" t="s">
        <v>114</v>
      </c>
      <c r="E40" s="68"/>
      <c r="F40" s="70">
        <v>20</v>
      </c>
    </row>
    <row r="41" spans="1:6">
      <c r="A41" s="68"/>
      <c r="B41" s="69"/>
      <c r="C41" s="69"/>
      <c r="D41" s="68" t="s">
        <v>115</v>
      </c>
      <c r="E41" s="68"/>
      <c r="F41" s="70">
        <v>20</v>
      </c>
    </row>
    <row r="42" spans="1:6">
      <c r="A42" s="68"/>
      <c r="B42" s="69"/>
      <c r="C42" s="69"/>
      <c r="D42" s="68" t="s">
        <v>116</v>
      </c>
      <c r="E42" s="68"/>
      <c r="F42" s="70">
        <v>20</v>
      </c>
    </row>
    <row r="43" spans="1:6">
      <c r="F43" s="71"/>
    </row>
  </sheetData>
  <printOptions horizontalCentered="1" verticalCentered="1"/>
  <pageMargins left="0" right="0" top="0" bottom="0" header="0" footer="0"/>
  <pageSetup paperSize="9" pageOrder="overThenDown" orientation="landscape" horizontalDpi="200" verticalDpi="300"/>
  <headerFooter alignWithMargins="0">
    <oddFooter>&amp;L&amp;BAltium Limited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workbookViewId="0">
      <selection activeCell="A34" sqref="A34:S35"/>
    </sheetView>
  </sheetViews>
  <sheetFormatPr defaultColWidth="8.88571428571429" defaultRowHeight="12.75"/>
  <cols>
    <col min="1" max="6" width="14" customWidth="1"/>
    <col min="7" max="7" width="17"/>
    <col min="8" max="8" width="18.552380952381"/>
    <col min="9" max="9" width="18.8857142857143"/>
    <col min="10" max="10" width="18.552380952381"/>
    <col min="11" max="11" width="18.8857142857143"/>
    <col min="12" max="19" width="14" customWidth="1"/>
  </cols>
  <sheetData>
    <row r="1" spans="1:19">
      <c r="A1" s="11" t="s">
        <v>10</v>
      </c>
      <c r="B1" s="11" t="s">
        <v>9</v>
      </c>
      <c r="C1" s="11" t="s">
        <v>12</v>
      </c>
      <c r="D1" s="11" t="s">
        <v>117</v>
      </c>
      <c r="E1" s="11" t="s">
        <v>118</v>
      </c>
      <c r="F1" s="11" t="s">
        <v>119</v>
      </c>
      <c r="G1" s="11" t="s">
        <v>120</v>
      </c>
      <c r="H1" s="11" t="s">
        <v>121</v>
      </c>
      <c r="I1" s="11" t="s">
        <v>122</v>
      </c>
      <c r="J1" s="11" t="s">
        <v>123</v>
      </c>
      <c r="K1" s="11" t="s">
        <v>124</v>
      </c>
      <c r="L1" s="11" t="s">
        <v>125</v>
      </c>
      <c r="M1" s="11" t="s">
        <v>126</v>
      </c>
      <c r="N1" s="11" t="s">
        <v>127</v>
      </c>
      <c r="O1" s="11" t="s">
        <v>128</v>
      </c>
      <c r="P1" s="11" t="s">
        <v>129</v>
      </c>
      <c r="Q1" s="11" t="s">
        <v>130</v>
      </c>
      <c r="R1" s="11" t="s">
        <v>131</v>
      </c>
      <c r="S1" s="11" t="s">
        <v>132</v>
      </c>
    </row>
    <row r="2" spans="1:19">
      <c r="A2" s="20" t="s">
        <v>15</v>
      </c>
      <c r="B2" s="21" t="s">
        <v>14</v>
      </c>
      <c r="C2" s="21" t="s">
        <v>17</v>
      </c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3"/>
    </row>
    <row r="3" ht="21" spans="1:19">
      <c r="A3" s="24" t="s">
        <v>19</v>
      </c>
      <c r="B3" s="25" t="s">
        <v>18</v>
      </c>
      <c r="C3" s="25" t="s">
        <v>21</v>
      </c>
      <c r="D3" s="25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7"/>
    </row>
    <row r="4" spans="1:19">
      <c r="A4" s="20" t="s">
        <v>23</v>
      </c>
      <c r="B4" s="21" t="s">
        <v>22</v>
      </c>
      <c r="C4" s="21" t="s">
        <v>17</v>
      </c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3"/>
    </row>
    <row r="5" spans="1:19">
      <c r="A5" s="24" t="s">
        <v>26</v>
      </c>
      <c r="B5" s="25" t="s">
        <v>25</v>
      </c>
      <c r="C5" s="25" t="s">
        <v>17</v>
      </c>
      <c r="D5" s="25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7"/>
    </row>
    <row r="6" spans="1:19">
      <c r="A6" s="20" t="s">
        <v>29</v>
      </c>
      <c r="B6" s="21" t="s">
        <v>28</v>
      </c>
      <c r="C6" s="21" t="s">
        <v>17</v>
      </c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3"/>
    </row>
    <row r="7" spans="1:19">
      <c r="A7" s="24" t="s">
        <v>32</v>
      </c>
      <c r="B7" s="25" t="s">
        <v>31</v>
      </c>
      <c r="C7" s="25" t="s">
        <v>17</v>
      </c>
      <c r="D7" s="25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/>
    </row>
    <row r="8" spans="1:19">
      <c r="A8" s="20" t="s">
        <v>133</v>
      </c>
      <c r="B8" s="21" t="s">
        <v>134</v>
      </c>
      <c r="C8" s="21" t="s">
        <v>17</v>
      </c>
      <c r="D8" s="2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3"/>
    </row>
    <row r="9" spans="1:19">
      <c r="A9" s="24" t="s">
        <v>135</v>
      </c>
      <c r="B9" s="25" t="s">
        <v>135</v>
      </c>
      <c r="C9" s="25" t="s">
        <v>136</v>
      </c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7"/>
    </row>
    <row r="10" ht="21" spans="1:19">
      <c r="A10" s="20" t="s">
        <v>35</v>
      </c>
      <c r="B10" s="21" t="s">
        <v>34</v>
      </c>
      <c r="C10" s="21" t="s">
        <v>37</v>
      </c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3"/>
    </row>
    <row r="11" ht="21" spans="1:19">
      <c r="A11" s="24" t="s">
        <v>39</v>
      </c>
      <c r="B11" s="25" t="s">
        <v>38</v>
      </c>
      <c r="C11" s="25" t="s">
        <v>41</v>
      </c>
      <c r="D11" s="25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7"/>
    </row>
    <row r="12" spans="1:19">
      <c r="A12" s="20" t="s">
        <v>43</v>
      </c>
      <c r="B12" s="21" t="s">
        <v>42</v>
      </c>
      <c r="C12" s="21" t="s">
        <v>45</v>
      </c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</row>
    <row r="13" spans="1:19">
      <c r="A13" s="24" t="s">
        <v>137</v>
      </c>
      <c r="B13" s="25" t="s">
        <v>138</v>
      </c>
      <c r="C13" s="25" t="s">
        <v>139</v>
      </c>
      <c r="D13" s="25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7"/>
    </row>
    <row r="14" ht="52.5" spans="1:19">
      <c r="A14" s="20" t="s">
        <v>47</v>
      </c>
      <c r="B14" s="21" t="s">
        <v>46</v>
      </c>
      <c r="C14" s="21" t="s">
        <v>49</v>
      </c>
      <c r="D14" s="21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3"/>
    </row>
    <row r="15" ht="21" spans="1:19">
      <c r="A15" s="24" t="s">
        <v>140</v>
      </c>
      <c r="B15" s="25" t="s">
        <v>46</v>
      </c>
      <c r="C15" s="25" t="s">
        <v>141</v>
      </c>
      <c r="D15" s="25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7"/>
    </row>
    <row r="16" ht="21" spans="1:19">
      <c r="A16" s="20" t="s">
        <v>51</v>
      </c>
      <c r="B16" s="21" t="s">
        <v>50</v>
      </c>
      <c r="C16" s="21" t="s">
        <v>53</v>
      </c>
      <c r="D16" s="21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3"/>
    </row>
    <row r="17" ht="21" spans="1:19">
      <c r="A17" s="24" t="s">
        <v>55</v>
      </c>
      <c r="B17" s="25" t="s">
        <v>54</v>
      </c>
      <c r="C17" s="25" t="s">
        <v>57</v>
      </c>
      <c r="D17" s="25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/>
    </row>
    <row r="18" spans="1:19">
      <c r="A18" s="20" t="s">
        <v>59</v>
      </c>
      <c r="B18" s="21" t="s">
        <v>58</v>
      </c>
      <c r="C18" s="21" t="s">
        <v>58</v>
      </c>
      <c r="D18" s="21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3"/>
    </row>
    <row r="19" spans="1:19">
      <c r="A19" s="24" t="s">
        <v>62</v>
      </c>
      <c r="B19" s="25" t="s">
        <v>61</v>
      </c>
      <c r="C19" s="25" t="s">
        <v>61</v>
      </c>
      <c r="D19" s="25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7"/>
    </row>
    <row r="20" spans="1:19">
      <c r="A20" s="20" t="s">
        <v>65</v>
      </c>
      <c r="B20" s="21" t="s">
        <v>64</v>
      </c>
      <c r="C20" s="21" t="s">
        <v>67</v>
      </c>
      <c r="D20" s="21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3"/>
    </row>
    <row r="21" spans="1:19">
      <c r="A21" s="24" t="s">
        <v>69</v>
      </c>
      <c r="B21" s="25" t="s">
        <v>68</v>
      </c>
      <c r="C21" s="25" t="s">
        <v>67</v>
      </c>
      <c r="D21" s="25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7"/>
    </row>
    <row r="22" spans="1:19">
      <c r="A22" s="20" t="s">
        <v>72</v>
      </c>
      <c r="B22" s="21" t="s">
        <v>71</v>
      </c>
      <c r="C22" s="21" t="s">
        <v>67</v>
      </c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3"/>
    </row>
    <row r="23" spans="1:19">
      <c r="A23" s="24" t="s">
        <v>75</v>
      </c>
      <c r="B23" s="25" t="s">
        <v>74</v>
      </c>
      <c r="C23" s="25" t="s">
        <v>67</v>
      </c>
      <c r="D23" s="25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7"/>
    </row>
    <row r="24" ht="21" spans="1:19">
      <c r="A24" s="20" t="s">
        <v>78</v>
      </c>
      <c r="B24" s="21" t="s">
        <v>77</v>
      </c>
      <c r="C24" s="21" t="s">
        <v>67</v>
      </c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3"/>
    </row>
    <row r="25" spans="1:19">
      <c r="A25" s="24" t="s">
        <v>81</v>
      </c>
      <c r="B25" s="25" t="s">
        <v>80</v>
      </c>
      <c r="C25" s="25" t="s">
        <v>67</v>
      </c>
      <c r="D25" s="25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7"/>
    </row>
    <row r="26" spans="1:19">
      <c r="A26" s="20" t="s">
        <v>84</v>
      </c>
      <c r="B26" s="21" t="s">
        <v>83</v>
      </c>
      <c r="C26" s="21" t="s">
        <v>67</v>
      </c>
      <c r="D26" s="21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3"/>
    </row>
    <row r="27" spans="1:19">
      <c r="A27" s="24" t="s">
        <v>87</v>
      </c>
      <c r="B27" s="25" t="s">
        <v>86</v>
      </c>
      <c r="C27" s="25" t="s">
        <v>67</v>
      </c>
      <c r="D27" s="25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7"/>
    </row>
    <row r="28" spans="1:19">
      <c r="A28" s="20" t="s">
        <v>142</v>
      </c>
      <c r="B28" s="21" t="s">
        <v>143</v>
      </c>
      <c r="C28" s="21" t="s">
        <v>67</v>
      </c>
      <c r="D28" s="21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3"/>
    </row>
    <row r="29" spans="1:19">
      <c r="A29" s="24" t="s">
        <v>90</v>
      </c>
      <c r="B29" s="25" t="s">
        <v>89</v>
      </c>
      <c r="C29" s="25" t="s">
        <v>67</v>
      </c>
      <c r="D29" s="25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7"/>
    </row>
    <row r="30" spans="1:19">
      <c r="A30" s="20" t="s">
        <v>93</v>
      </c>
      <c r="B30" s="21" t="s">
        <v>92</v>
      </c>
      <c r="C30" s="21" t="s">
        <v>95</v>
      </c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3"/>
    </row>
    <row r="31" spans="1:19">
      <c r="A31" s="24" t="s">
        <v>97</v>
      </c>
      <c r="B31" s="25" t="s">
        <v>96</v>
      </c>
      <c r="C31" s="25" t="s">
        <v>96</v>
      </c>
      <c r="D31" s="25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7"/>
    </row>
    <row r="32" ht="31.5" spans="1:19">
      <c r="A32" s="20" t="s">
        <v>100</v>
      </c>
      <c r="B32" s="21" t="s">
        <v>99</v>
      </c>
      <c r="C32" s="21" t="s">
        <v>102</v>
      </c>
      <c r="D32" s="21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3"/>
    </row>
    <row r="33" ht="31.5" spans="1:19">
      <c r="A33" s="24" t="s">
        <v>104</v>
      </c>
      <c r="B33" s="25" t="s">
        <v>103</v>
      </c>
      <c r="C33" s="25" t="s">
        <v>106</v>
      </c>
      <c r="D33" s="25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7"/>
    </row>
    <row r="34" spans="1:19">
      <c r="A34" s="20" t="s">
        <v>144</v>
      </c>
      <c r="B34" s="21" t="s">
        <v>145</v>
      </c>
      <c r="C34" s="21" t="s">
        <v>145</v>
      </c>
      <c r="D34" s="21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3"/>
    </row>
    <row r="35" ht="31.5" spans="1:19">
      <c r="A35" s="24" t="s">
        <v>108</v>
      </c>
      <c r="B35" s="25" t="s">
        <v>107</v>
      </c>
      <c r="C35" s="25" t="s">
        <v>110</v>
      </c>
      <c r="D35" s="25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7"/>
    </row>
  </sheetData>
  <printOptions horizontalCentered="1" verticalCentered="1"/>
  <pageMargins left="0" right="0" top="0" bottom="0" header="0.5" footer="0"/>
  <pageSetup paperSize="1" pageOrder="overThenDown" orientation="portrait" horizont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workbookViewId="0">
      <selection activeCell="A34" sqref="A34:K35"/>
    </sheetView>
  </sheetViews>
  <sheetFormatPr defaultColWidth="8.88571428571429" defaultRowHeight="12.75"/>
  <cols>
    <col min="1" max="11" width="14" customWidth="1"/>
  </cols>
  <sheetData>
    <row r="1" spans="1:11">
      <c r="A1" s="11" t="s">
        <v>10</v>
      </c>
      <c r="B1" s="11" t="s">
        <v>9</v>
      </c>
      <c r="C1" s="11" t="s">
        <v>12</v>
      </c>
      <c r="D1" s="11" t="s">
        <v>117</v>
      </c>
      <c r="E1" s="11" t="s">
        <v>118</v>
      </c>
      <c r="F1" s="11" t="s">
        <v>122</v>
      </c>
      <c r="G1" s="11" t="s">
        <v>124</v>
      </c>
      <c r="H1" s="11" t="s">
        <v>126</v>
      </c>
      <c r="I1" s="11" t="s">
        <v>128</v>
      </c>
      <c r="J1" s="11" t="s">
        <v>130</v>
      </c>
      <c r="K1" s="11" t="s">
        <v>132</v>
      </c>
    </row>
    <row r="2" spans="1:11">
      <c r="A2" s="12" t="s">
        <v>15</v>
      </c>
      <c r="B2" s="13" t="s">
        <v>14</v>
      </c>
      <c r="C2" s="13" t="s">
        <v>17</v>
      </c>
      <c r="D2" s="13"/>
      <c r="E2" s="14"/>
      <c r="F2" s="14"/>
      <c r="G2" s="14"/>
      <c r="H2" s="14"/>
      <c r="I2" s="14"/>
      <c r="J2" s="14"/>
      <c r="K2" s="15"/>
    </row>
    <row r="3" spans="1:11">
      <c r="A3" s="16" t="s">
        <v>19</v>
      </c>
      <c r="B3" s="17" t="s">
        <v>18</v>
      </c>
      <c r="C3" s="17" t="s">
        <v>21</v>
      </c>
      <c r="D3" s="17"/>
      <c r="E3" s="18"/>
      <c r="F3" s="18"/>
      <c r="G3" s="18"/>
      <c r="H3" s="18"/>
      <c r="I3" s="18"/>
      <c r="J3" s="18"/>
      <c r="K3" s="19"/>
    </row>
    <row r="4" spans="1:11">
      <c r="A4" s="12" t="s">
        <v>23</v>
      </c>
      <c r="B4" s="13" t="s">
        <v>22</v>
      </c>
      <c r="C4" s="13" t="s">
        <v>17</v>
      </c>
      <c r="D4" s="13"/>
      <c r="E4" s="14"/>
      <c r="F4" s="14"/>
      <c r="G4" s="14"/>
      <c r="H4" s="14"/>
      <c r="I4" s="14"/>
      <c r="J4" s="14"/>
      <c r="K4" s="15"/>
    </row>
    <row r="5" spans="1:11">
      <c r="A5" s="16" t="s">
        <v>26</v>
      </c>
      <c r="B5" s="17" t="s">
        <v>25</v>
      </c>
      <c r="C5" s="17" t="s">
        <v>17</v>
      </c>
      <c r="D5" s="17"/>
      <c r="E5" s="18"/>
      <c r="F5" s="18"/>
      <c r="G5" s="18"/>
      <c r="H5" s="18"/>
      <c r="I5" s="18"/>
      <c r="J5" s="18"/>
      <c r="K5" s="19"/>
    </row>
    <row r="6" spans="1:11">
      <c r="A6" s="12" t="s">
        <v>29</v>
      </c>
      <c r="B6" s="13" t="s">
        <v>28</v>
      </c>
      <c r="C6" s="13" t="s">
        <v>17</v>
      </c>
      <c r="D6" s="13"/>
      <c r="E6" s="14"/>
      <c r="F6" s="14"/>
      <c r="G6" s="14"/>
      <c r="H6" s="14"/>
      <c r="I6" s="14"/>
      <c r="J6" s="14"/>
      <c r="K6" s="15"/>
    </row>
    <row r="7" spans="1:11">
      <c r="A7" s="16" t="s">
        <v>32</v>
      </c>
      <c r="B7" s="17" t="s">
        <v>31</v>
      </c>
      <c r="C7" s="17" t="s">
        <v>17</v>
      </c>
      <c r="D7" s="17"/>
      <c r="E7" s="18"/>
      <c r="F7" s="18"/>
      <c r="G7" s="18"/>
      <c r="H7" s="18"/>
      <c r="I7" s="18"/>
      <c r="J7" s="18"/>
      <c r="K7" s="19"/>
    </row>
    <row r="8" spans="1:11">
      <c r="A8" s="12" t="s">
        <v>133</v>
      </c>
      <c r="B8" s="13" t="s">
        <v>134</v>
      </c>
      <c r="C8" s="13" t="s">
        <v>17</v>
      </c>
      <c r="D8" s="13"/>
      <c r="E8" s="14"/>
      <c r="F8" s="14"/>
      <c r="G8" s="14"/>
      <c r="H8" s="14"/>
      <c r="I8" s="14"/>
      <c r="J8" s="14"/>
      <c r="K8" s="15"/>
    </row>
    <row r="9" spans="1:11">
      <c r="A9" s="16" t="s">
        <v>135</v>
      </c>
      <c r="B9" s="17" t="s">
        <v>135</v>
      </c>
      <c r="C9" s="17" t="s">
        <v>136</v>
      </c>
      <c r="D9" s="17"/>
      <c r="E9" s="18"/>
      <c r="F9" s="18"/>
      <c r="G9" s="18"/>
      <c r="H9" s="18"/>
      <c r="I9" s="18"/>
      <c r="J9" s="18"/>
      <c r="K9" s="19"/>
    </row>
    <row r="10" spans="1:11">
      <c r="A10" s="12" t="s">
        <v>35</v>
      </c>
      <c r="B10" s="13" t="s">
        <v>34</v>
      </c>
      <c r="C10" s="13" t="s">
        <v>37</v>
      </c>
      <c r="D10" s="13"/>
      <c r="E10" s="14"/>
      <c r="F10" s="14"/>
      <c r="G10" s="14"/>
      <c r="H10" s="14"/>
      <c r="I10" s="14"/>
      <c r="J10" s="14"/>
      <c r="K10" s="15"/>
    </row>
    <row r="11" spans="1:11">
      <c r="A11" s="16" t="s">
        <v>39</v>
      </c>
      <c r="B11" s="17" t="s">
        <v>38</v>
      </c>
      <c r="C11" s="17" t="s">
        <v>41</v>
      </c>
      <c r="D11" s="17"/>
      <c r="E11" s="18"/>
      <c r="F11" s="18"/>
      <c r="G11" s="18"/>
      <c r="H11" s="18"/>
      <c r="I11" s="18"/>
      <c r="J11" s="18"/>
      <c r="K11" s="19"/>
    </row>
    <row r="12" spans="1:11">
      <c r="A12" s="12" t="s">
        <v>43</v>
      </c>
      <c r="B12" s="13" t="s">
        <v>42</v>
      </c>
      <c r="C12" s="13" t="s">
        <v>45</v>
      </c>
      <c r="D12" s="13"/>
      <c r="E12" s="14"/>
      <c r="F12" s="14"/>
      <c r="G12" s="14"/>
      <c r="H12" s="14"/>
      <c r="I12" s="14"/>
      <c r="J12" s="14"/>
      <c r="K12" s="15"/>
    </row>
    <row r="13" spans="1:11">
      <c r="A13" s="16" t="s">
        <v>137</v>
      </c>
      <c r="B13" s="17" t="s">
        <v>138</v>
      </c>
      <c r="C13" s="17" t="s">
        <v>139</v>
      </c>
      <c r="D13" s="17"/>
      <c r="E13" s="18"/>
      <c r="F13" s="18"/>
      <c r="G13" s="18"/>
      <c r="H13" s="18"/>
      <c r="I13" s="18"/>
      <c r="J13" s="18"/>
      <c r="K13" s="19"/>
    </row>
    <row r="14" spans="1:11">
      <c r="A14" s="12" t="s">
        <v>47</v>
      </c>
      <c r="B14" s="13" t="s">
        <v>46</v>
      </c>
      <c r="C14" s="13" t="s">
        <v>49</v>
      </c>
      <c r="D14" s="13"/>
      <c r="E14" s="14"/>
      <c r="F14" s="14"/>
      <c r="G14" s="14"/>
      <c r="H14" s="14"/>
      <c r="I14" s="14"/>
      <c r="J14" s="14"/>
      <c r="K14" s="15"/>
    </row>
    <row r="15" spans="1:11">
      <c r="A15" s="16" t="s">
        <v>140</v>
      </c>
      <c r="B15" s="17" t="s">
        <v>46</v>
      </c>
      <c r="C15" s="17" t="s">
        <v>141</v>
      </c>
      <c r="D15" s="17"/>
      <c r="E15" s="18"/>
      <c r="F15" s="18"/>
      <c r="G15" s="18"/>
      <c r="H15" s="18"/>
      <c r="I15" s="18"/>
      <c r="J15" s="18"/>
      <c r="K15" s="19"/>
    </row>
    <row r="16" spans="1:11">
      <c r="A16" s="12" t="s">
        <v>51</v>
      </c>
      <c r="B16" s="13" t="s">
        <v>50</v>
      </c>
      <c r="C16" s="13" t="s">
        <v>53</v>
      </c>
      <c r="D16" s="13"/>
      <c r="E16" s="14"/>
      <c r="F16" s="14"/>
      <c r="G16" s="14"/>
      <c r="H16" s="14"/>
      <c r="I16" s="14"/>
      <c r="J16" s="14"/>
      <c r="K16" s="15"/>
    </row>
    <row r="17" spans="1:11">
      <c r="A17" s="16" t="s">
        <v>55</v>
      </c>
      <c r="B17" s="17" t="s">
        <v>54</v>
      </c>
      <c r="C17" s="17" t="s">
        <v>57</v>
      </c>
      <c r="D17" s="17"/>
      <c r="E17" s="18"/>
      <c r="F17" s="18"/>
      <c r="G17" s="18"/>
      <c r="H17" s="18"/>
      <c r="I17" s="18"/>
      <c r="J17" s="18"/>
      <c r="K17" s="19"/>
    </row>
    <row r="18" spans="1:11">
      <c r="A18" s="12" t="s">
        <v>59</v>
      </c>
      <c r="B18" s="13" t="s">
        <v>58</v>
      </c>
      <c r="C18" s="13" t="s">
        <v>58</v>
      </c>
      <c r="D18" s="13"/>
      <c r="E18" s="14"/>
      <c r="F18" s="14"/>
      <c r="G18" s="14"/>
      <c r="H18" s="14"/>
      <c r="I18" s="14"/>
      <c r="J18" s="14"/>
      <c r="K18" s="15"/>
    </row>
    <row r="19" spans="1:11">
      <c r="A19" s="16" t="s">
        <v>62</v>
      </c>
      <c r="B19" s="17" t="s">
        <v>61</v>
      </c>
      <c r="C19" s="17" t="s">
        <v>61</v>
      </c>
      <c r="D19" s="17"/>
      <c r="E19" s="18"/>
      <c r="F19" s="18"/>
      <c r="G19" s="18"/>
      <c r="H19" s="18"/>
      <c r="I19" s="18"/>
      <c r="J19" s="18"/>
      <c r="K19" s="19"/>
    </row>
    <row r="20" spans="1:11">
      <c r="A20" s="12" t="s">
        <v>65</v>
      </c>
      <c r="B20" s="13" t="s">
        <v>64</v>
      </c>
      <c r="C20" s="13" t="s">
        <v>67</v>
      </c>
      <c r="D20" s="13"/>
      <c r="E20" s="14"/>
      <c r="F20" s="14"/>
      <c r="G20" s="14"/>
      <c r="H20" s="14"/>
      <c r="I20" s="14"/>
      <c r="J20" s="14"/>
      <c r="K20" s="15"/>
    </row>
    <row r="21" spans="1:11">
      <c r="A21" s="16" t="s">
        <v>69</v>
      </c>
      <c r="B21" s="17" t="s">
        <v>68</v>
      </c>
      <c r="C21" s="17" t="s">
        <v>67</v>
      </c>
      <c r="D21" s="17"/>
      <c r="E21" s="18"/>
      <c r="F21" s="18"/>
      <c r="G21" s="18"/>
      <c r="H21" s="18"/>
      <c r="I21" s="18"/>
      <c r="J21" s="18"/>
      <c r="K21" s="19"/>
    </row>
    <row r="22" spans="1:11">
      <c r="A22" s="12" t="s">
        <v>72</v>
      </c>
      <c r="B22" s="13" t="s">
        <v>71</v>
      </c>
      <c r="C22" s="13" t="s">
        <v>67</v>
      </c>
      <c r="D22" s="13"/>
      <c r="E22" s="14"/>
      <c r="F22" s="14"/>
      <c r="G22" s="14"/>
      <c r="H22" s="14"/>
      <c r="I22" s="14"/>
      <c r="J22" s="14"/>
      <c r="K22" s="15"/>
    </row>
    <row r="23" spans="1:11">
      <c r="A23" s="16" t="s">
        <v>75</v>
      </c>
      <c r="B23" s="17" t="s">
        <v>74</v>
      </c>
      <c r="C23" s="17" t="s">
        <v>67</v>
      </c>
      <c r="D23" s="17"/>
      <c r="E23" s="18"/>
      <c r="F23" s="18"/>
      <c r="G23" s="18"/>
      <c r="H23" s="18"/>
      <c r="I23" s="18"/>
      <c r="J23" s="18"/>
      <c r="K23" s="19"/>
    </row>
    <row r="24" spans="1:11">
      <c r="A24" s="12" t="s">
        <v>78</v>
      </c>
      <c r="B24" s="13" t="s">
        <v>77</v>
      </c>
      <c r="C24" s="13" t="s">
        <v>67</v>
      </c>
      <c r="D24" s="13"/>
      <c r="E24" s="14"/>
      <c r="F24" s="14"/>
      <c r="G24" s="14"/>
      <c r="H24" s="14"/>
      <c r="I24" s="14"/>
      <c r="J24" s="14"/>
      <c r="K24" s="15"/>
    </row>
    <row r="25" spans="1:11">
      <c r="A25" s="16" t="s">
        <v>81</v>
      </c>
      <c r="B25" s="17" t="s">
        <v>80</v>
      </c>
      <c r="C25" s="17" t="s">
        <v>67</v>
      </c>
      <c r="D25" s="17"/>
      <c r="E25" s="18"/>
      <c r="F25" s="18"/>
      <c r="G25" s="18"/>
      <c r="H25" s="18"/>
      <c r="I25" s="18"/>
      <c r="J25" s="18"/>
      <c r="K25" s="19"/>
    </row>
    <row r="26" spans="1:11">
      <c r="A26" s="12" t="s">
        <v>84</v>
      </c>
      <c r="B26" s="13" t="s">
        <v>83</v>
      </c>
      <c r="C26" s="13" t="s">
        <v>67</v>
      </c>
      <c r="D26" s="13"/>
      <c r="E26" s="14"/>
      <c r="F26" s="14"/>
      <c r="G26" s="14"/>
      <c r="H26" s="14"/>
      <c r="I26" s="14"/>
      <c r="J26" s="14"/>
      <c r="K26" s="15"/>
    </row>
    <row r="27" spans="1:11">
      <c r="A27" s="16" t="s">
        <v>87</v>
      </c>
      <c r="B27" s="17" t="s">
        <v>86</v>
      </c>
      <c r="C27" s="17" t="s">
        <v>67</v>
      </c>
      <c r="D27" s="17"/>
      <c r="E27" s="18"/>
      <c r="F27" s="18"/>
      <c r="G27" s="18"/>
      <c r="H27" s="18"/>
      <c r="I27" s="18"/>
      <c r="J27" s="18"/>
      <c r="K27" s="19"/>
    </row>
    <row r="28" spans="1:11">
      <c r="A28" s="12" t="s">
        <v>142</v>
      </c>
      <c r="B28" s="13" t="s">
        <v>143</v>
      </c>
      <c r="C28" s="13" t="s">
        <v>67</v>
      </c>
      <c r="D28" s="13"/>
      <c r="E28" s="14"/>
      <c r="F28" s="14"/>
      <c r="G28" s="14"/>
      <c r="H28" s="14"/>
      <c r="I28" s="14"/>
      <c r="J28" s="14"/>
      <c r="K28" s="15"/>
    </row>
    <row r="29" spans="1:11">
      <c r="A29" s="16" t="s">
        <v>90</v>
      </c>
      <c r="B29" s="17" t="s">
        <v>89</v>
      </c>
      <c r="C29" s="17" t="s">
        <v>67</v>
      </c>
      <c r="D29" s="17"/>
      <c r="E29" s="18"/>
      <c r="F29" s="18"/>
      <c r="G29" s="18"/>
      <c r="H29" s="18"/>
      <c r="I29" s="18"/>
      <c r="J29" s="18"/>
      <c r="K29" s="19"/>
    </row>
    <row r="30" spans="1:11">
      <c r="A30" s="12" t="s">
        <v>93</v>
      </c>
      <c r="B30" s="13" t="s">
        <v>92</v>
      </c>
      <c r="C30" s="13" t="s">
        <v>95</v>
      </c>
      <c r="D30" s="13"/>
      <c r="E30" s="14"/>
      <c r="F30" s="14"/>
      <c r="G30" s="14"/>
      <c r="H30" s="14"/>
      <c r="I30" s="14"/>
      <c r="J30" s="14"/>
      <c r="K30" s="15"/>
    </row>
    <row r="31" spans="1:11">
      <c r="A31" s="16" t="s">
        <v>97</v>
      </c>
      <c r="B31" s="17" t="s">
        <v>96</v>
      </c>
      <c r="C31" s="17" t="s">
        <v>96</v>
      </c>
      <c r="D31" s="17"/>
      <c r="E31" s="18"/>
      <c r="F31" s="18"/>
      <c r="G31" s="18"/>
      <c r="H31" s="18"/>
      <c r="I31" s="18"/>
      <c r="J31" s="18"/>
      <c r="K31" s="19"/>
    </row>
    <row r="32" spans="1:11">
      <c r="A32" s="12" t="s">
        <v>100</v>
      </c>
      <c r="B32" s="13" t="s">
        <v>99</v>
      </c>
      <c r="C32" s="13" t="s">
        <v>102</v>
      </c>
      <c r="D32" s="13"/>
      <c r="E32" s="14"/>
      <c r="F32" s="14"/>
      <c r="G32" s="14"/>
      <c r="H32" s="14"/>
      <c r="I32" s="14"/>
      <c r="J32" s="14"/>
      <c r="K32" s="15"/>
    </row>
    <row r="33" spans="1:11">
      <c r="A33" s="16" t="s">
        <v>104</v>
      </c>
      <c r="B33" s="17" t="s">
        <v>103</v>
      </c>
      <c r="C33" s="17" t="s">
        <v>106</v>
      </c>
      <c r="D33" s="17"/>
      <c r="E33" s="18"/>
      <c r="F33" s="18"/>
      <c r="G33" s="18"/>
      <c r="H33" s="18"/>
      <c r="I33" s="18"/>
      <c r="J33" s="18"/>
      <c r="K33" s="19"/>
    </row>
    <row r="34" spans="1:11">
      <c r="A34" s="12" t="s">
        <v>144</v>
      </c>
      <c r="B34" s="13" t="s">
        <v>145</v>
      </c>
      <c r="C34" s="13" t="s">
        <v>145</v>
      </c>
      <c r="D34" s="13"/>
      <c r="E34" s="14"/>
      <c r="F34" s="14"/>
      <c r="G34" s="14"/>
      <c r="H34" s="14"/>
      <c r="I34" s="14"/>
      <c r="J34" s="14"/>
      <c r="K34" s="15"/>
    </row>
    <row r="35" spans="1:11">
      <c r="A35" s="16" t="s">
        <v>108</v>
      </c>
      <c r="B35" s="17" t="s">
        <v>107</v>
      </c>
      <c r="C35" s="17" t="s">
        <v>110</v>
      </c>
      <c r="D35" s="17"/>
      <c r="E35" s="18"/>
      <c r="F35" s="18"/>
      <c r="G35" s="18"/>
      <c r="H35" s="18"/>
      <c r="I35" s="18"/>
      <c r="J35" s="18"/>
      <c r="K35" s="19"/>
    </row>
  </sheetData>
  <printOptions horizontalCentered="1" verticalCentered="1"/>
  <pageMargins left="0" right="0" top="0" bottom="0" header="0" footer="0"/>
  <pageSetup paperSize="9" pageOrder="overThenDown" orientation="portrait" horizontalDpi="600" vertic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workbookViewId="0">
      <selection activeCell="A34" sqref="A34:K35"/>
    </sheetView>
  </sheetViews>
  <sheetFormatPr defaultColWidth="8.88571428571429" defaultRowHeight="12.75"/>
  <cols>
    <col min="1" max="11" width="14" customWidth="1"/>
  </cols>
  <sheetData>
    <row r="1" spans="1:11">
      <c r="A1" s="11" t="s">
        <v>10</v>
      </c>
      <c r="B1" s="11" t="s">
        <v>9</v>
      </c>
      <c r="C1" s="11" t="s">
        <v>12</v>
      </c>
      <c r="D1" s="11" t="s">
        <v>117</v>
      </c>
      <c r="E1" s="11" t="s">
        <v>118</v>
      </c>
      <c r="F1" s="11" t="s">
        <v>121</v>
      </c>
      <c r="G1" s="11" t="s">
        <v>123</v>
      </c>
      <c r="H1" s="11" t="s">
        <v>125</v>
      </c>
      <c r="I1" s="11" t="s">
        <v>127</v>
      </c>
      <c r="J1" s="11" t="s">
        <v>129</v>
      </c>
      <c r="K1" s="11" t="s">
        <v>131</v>
      </c>
    </row>
    <row r="2" spans="1:11">
      <c r="A2" s="12" t="s">
        <v>15</v>
      </c>
      <c r="B2" s="13" t="s">
        <v>14</v>
      </c>
      <c r="C2" s="13" t="s">
        <v>17</v>
      </c>
      <c r="D2" s="13"/>
      <c r="E2" s="14"/>
      <c r="F2" s="14"/>
      <c r="G2" s="14"/>
      <c r="H2" s="14"/>
      <c r="I2" s="14"/>
      <c r="J2" s="14"/>
      <c r="K2" s="15"/>
    </row>
    <row r="3" spans="1:11">
      <c r="A3" s="16" t="s">
        <v>19</v>
      </c>
      <c r="B3" s="17" t="s">
        <v>18</v>
      </c>
      <c r="C3" s="17" t="s">
        <v>21</v>
      </c>
      <c r="D3" s="17"/>
      <c r="E3" s="18"/>
      <c r="F3" s="18"/>
      <c r="G3" s="18"/>
      <c r="H3" s="18"/>
      <c r="I3" s="18"/>
      <c r="J3" s="18"/>
      <c r="K3" s="19"/>
    </row>
    <row r="4" spans="1:11">
      <c r="A4" s="12" t="s">
        <v>23</v>
      </c>
      <c r="B4" s="13" t="s">
        <v>22</v>
      </c>
      <c r="C4" s="13" t="s">
        <v>17</v>
      </c>
      <c r="D4" s="13"/>
      <c r="E4" s="14"/>
      <c r="F4" s="14"/>
      <c r="G4" s="14"/>
      <c r="H4" s="14"/>
      <c r="I4" s="14"/>
      <c r="J4" s="14"/>
      <c r="K4" s="15"/>
    </row>
    <row r="5" spans="1:11">
      <c r="A5" s="16" t="s">
        <v>26</v>
      </c>
      <c r="B5" s="17" t="s">
        <v>25</v>
      </c>
      <c r="C5" s="17" t="s">
        <v>17</v>
      </c>
      <c r="D5" s="17"/>
      <c r="E5" s="18"/>
      <c r="F5" s="18"/>
      <c r="G5" s="18"/>
      <c r="H5" s="18"/>
      <c r="I5" s="18"/>
      <c r="J5" s="18"/>
      <c r="K5" s="19"/>
    </row>
    <row r="6" spans="1:11">
      <c r="A6" s="12" t="s">
        <v>29</v>
      </c>
      <c r="B6" s="13" t="s">
        <v>28</v>
      </c>
      <c r="C6" s="13" t="s">
        <v>17</v>
      </c>
      <c r="D6" s="13"/>
      <c r="E6" s="14"/>
      <c r="F6" s="14"/>
      <c r="G6" s="14"/>
      <c r="H6" s="14"/>
      <c r="I6" s="14"/>
      <c r="J6" s="14"/>
      <c r="K6" s="15"/>
    </row>
    <row r="7" spans="1:11">
      <c r="A7" s="16" t="s">
        <v>32</v>
      </c>
      <c r="B7" s="17" t="s">
        <v>31</v>
      </c>
      <c r="C7" s="17" t="s">
        <v>17</v>
      </c>
      <c r="D7" s="17"/>
      <c r="E7" s="18"/>
      <c r="F7" s="18"/>
      <c r="G7" s="18"/>
      <c r="H7" s="18"/>
      <c r="I7" s="18"/>
      <c r="J7" s="18"/>
      <c r="K7" s="19"/>
    </row>
    <row r="8" spans="1:11">
      <c r="A8" s="12" t="s">
        <v>133</v>
      </c>
      <c r="B8" s="13" t="s">
        <v>134</v>
      </c>
      <c r="C8" s="13" t="s">
        <v>17</v>
      </c>
      <c r="D8" s="13"/>
      <c r="E8" s="14"/>
      <c r="F8" s="14"/>
      <c r="G8" s="14"/>
      <c r="H8" s="14"/>
      <c r="I8" s="14"/>
      <c r="J8" s="14"/>
      <c r="K8" s="15"/>
    </row>
    <row r="9" spans="1:11">
      <c r="A9" s="16" t="s">
        <v>135</v>
      </c>
      <c r="B9" s="17" t="s">
        <v>135</v>
      </c>
      <c r="C9" s="17" t="s">
        <v>136</v>
      </c>
      <c r="D9" s="17"/>
      <c r="E9" s="18"/>
      <c r="F9" s="18"/>
      <c r="G9" s="18"/>
      <c r="H9" s="18"/>
      <c r="I9" s="18"/>
      <c r="J9" s="18"/>
      <c r="K9" s="19"/>
    </row>
    <row r="10" spans="1:11">
      <c r="A10" s="12" t="s">
        <v>35</v>
      </c>
      <c r="B10" s="13" t="s">
        <v>34</v>
      </c>
      <c r="C10" s="13" t="s">
        <v>37</v>
      </c>
      <c r="D10" s="13"/>
      <c r="E10" s="14"/>
      <c r="F10" s="14"/>
      <c r="G10" s="14"/>
      <c r="H10" s="14"/>
      <c r="I10" s="14"/>
      <c r="J10" s="14"/>
      <c r="K10" s="15"/>
    </row>
    <row r="11" spans="1:11">
      <c r="A11" s="16" t="s">
        <v>39</v>
      </c>
      <c r="B11" s="17" t="s">
        <v>38</v>
      </c>
      <c r="C11" s="17" t="s">
        <v>41</v>
      </c>
      <c r="D11" s="17"/>
      <c r="E11" s="18"/>
      <c r="F11" s="18"/>
      <c r="G11" s="18"/>
      <c r="H11" s="18"/>
      <c r="I11" s="18"/>
      <c r="J11" s="18"/>
      <c r="K11" s="19"/>
    </row>
    <row r="12" spans="1:11">
      <c r="A12" s="12" t="s">
        <v>43</v>
      </c>
      <c r="B12" s="13" t="s">
        <v>42</v>
      </c>
      <c r="C12" s="13" t="s">
        <v>45</v>
      </c>
      <c r="D12" s="13"/>
      <c r="E12" s="14"/>
      <c r="F12" s="14"/>
      <c r="G12" s="14"/>
      <c r="H12" s="14"/>
      <c r="I12" s="14"/>
      <c r="J12" s="14"/>
      <c r="K12" s="15"/>
    </row>
    <row r="13" spans="1:11">
      <c r="A13" s="16" t="s">
        <v>137</v>
      </c>
      <c r="B13" s="17" t="s">
        <v>138</v>
      </c>
      <c r="C13" s="17" t="s">
        <v>139</v>
      </c>
      <c r="D13" s="17"/>
      <c r="E13" s="18"/>
      <c r="F13" s="18"/>
      <c r="G13" s="18"/>
      <c r="H13" s="18"/>
      <c r="I13" s="18"/>
      <c r="J13" s="18"/>
      <c r="K13" s="19"/>
    </row>
    <row r="14" spans="1:11">
      <c r="A14" s="12" t="s">
        <v>47</v>
      </c>
      <c r="B14" s="13" t="s">
        <v>46</v>
      </c>
      <c r="C14" s="13" t="s">
        <v>49</v>
      </c>
      <c r="D14" s="13"/>
      <c r="E14" s="14"/>
      <c r="F14" s="14"/>
      <c r="G14" s="14"/>
      <c r="H14" s="14"/>
      <c r="I14" s="14"/>
      <c r="J14" s="14"/>
      <c r="K14" s="15"/>
    </row>
    <row r="15" spans="1:11">
      <c r="A15" s="16" t="s">
        <v>140</v>
      </c>
      <c r="B15" s="17" t="s">
        <v>46</v>
      </c>
      <c r="C15" s="17" t="s">
        <v>141</v>
      </c>
      <c r="D15" s="17"/>
      <c r="E15" s="18"/>
      <c r="F15" s="18"/>
      <c r="G15" s="18"/>
      <c r="H15" s="18"/>
      <c r="I15" s="18"/>
      <c r="J15" s="18"/>
      <c r="K15" s="19"/>
    </row>
    <row r="16" spans="1:11">
      <c r="A16" s="12" t="s">
        <v>51</v>
      </c>
      <c r="B16" s="13" t="s">
        <v>50</v>
      </c>
      <c r="C16" s="13" t="s">
        <v>53</v>
      </c>
      <c r="D16" s="13"/>
      <c r="E16" s="14"/>
      <c r="F16" s="14"/>
      <c r="G16" s="14"/>
      <c r="H16" s="14"/>
      <c r="I16" s="14"/>
      <c r="J16" s="14"/>
      <c r="K16" s="15"/>
    </row>
    <row r="17" spans="1:11">
      <c r="A17" s="16" t="s">
        <v>55</v>
      </c>
      <c r="B17" s="17" t="s">
        <v>54</v>
      </c>
      <c r="C17" s="17" t="s">
        <v>57</v>
      </c>
      <c r="D17" s="17"/>
      <c r="E17" s="18"/>
      <c r="F17" s="18"/>
      <c r="G17" s="18"/>
      <c r="H17" s="18"/>
      <c r="I17" s="18"/>
      <c r="J17" s="18"/>
      <c r="K17" s="19"/>
    </row>
    <row r="18" spans="1:11">
      <c r="A18" s="12" t="s">
        <v>59</v>
      </c>
      <c r="B18" s="13" t="s">
        <v>58</v>
      </c>
      <c r="C18" s="13" t="s">
        <v>58</v>
      </c>
      <c r="D18" s="13"/>
      <c r="E18" s="14"/>
      <c r="F18" s="14"/>
      <c r="G18" s="14"/>
      <c r="H18" s="14"/>
      <c r="I18" s="14"/>
      <c r="J18" s="14"/>
      <c r="K18" s="15"/>
    </row>
    <row r="19" spans="1:11">
      <c r="A19" s="16" t="s">
        <v>62</v>
      </c>
      <c r="B19" s="17" t="s">
        <v>61</v>
      </c>
      <c r="C19" s="17" t="s">
        <v>61</v>
      </c>
      <c r="D19" s="17"/>
      <c r="E19" s="18"/>
      <c r="F19" s="18"/>
      <c r="G19" s="18"/>
      <c r="H19" s="18"/>
      <c r="I19" s="18"/>
      <c r="J19" s="18"/>
      <c r="K19" s="19"/>
    </row>
    <row r="20" spans="1:11">
      <c r="A20" s="12" t="s">
        <v>65</v>
      </c>
      <c r="B20" s="13" t="s">
        <v>64</v>
      </c>
      <c r="C20" s="13" t="s">
        <v>67</v>
      </c>
      <c r="D20" s="13"/>
      <c r="E20" s="14"/>
      <c r="F20" s="14"/>
      <c r="G20" s="14"/>
      <c r="H20" s="14"/>
      <c r="I20" s="14"/>
      <c r="J20" s="14"/>
      <c r="K20" s="15"/>
    </row>
    <row r="21" spans="1:11">
      <c r="A21" s="16" t="s">
        <v>69</v>
      </c>
      <c r="B21" s="17" t="s">
        <v>68</v>
      </c>
      <c r="C21" s="17" t="s">
        <v>67</v>
      </c>
      <c r="D21" s="17"/>
      <c r="E21" s="18"/>
      <c r="F21" s="18"/>
      <c r="G21" s="18"/>
      <c r="H21" s="18"/>
      <c r="I21" s="18"/>
      <c r="J21" s="18"/>
      <c r="K21" s="19"/>
    </row>
    <row r="22" spans="1:11">
      <c r="A22" s="12" t="s">
        <v>72</v>
      </c>
      <c r="B22" s="13" t="s">
        <v>71</v>
      </c>
      <c r="C22" s="13" t="s">
        <v>67</v>
      </c>
      <c r="D22" s="13"/>
      <c r="E22" s="14"/>
      <c r="F22" s="14"/>
      <c r="G22" s="14"/>
      <c r="H22" s="14"/>
      <c r="I22" s="14"/>
      <c r="J22" s="14"/>
      <c r="K22" s="15"/>
    </row>
    <row r="23" spans="1:11">
      <c r="A23" s="16" t="s">
        <v>75</v>
      </c>
      <c r="B23" s="17" t="s">
        <v>74</v>
      </c>
      <c r="C23" s="17" t="s">
        <v>67</v>
      </c>
      <c r="D23" s="17"/>
      <c r="E23" s="18"/>
      <c r="F23" s="18"/>
      <c r="G23" s="18"/>
      <c r="H23" s="18"/>
      <c r="I23" s="18"/>
      <c r="J23" s="18"/>
      <c r="K23" s="19"/>
    </row>
    <row r="24" spans="1:11">
      <c r="A24" s="12" t="s">
        <v>78</v>
      </c>
      <c r="B24" s="13" t="s">
        <v>77</v>
      </c>
      <c r="C24" s="13" t="s">
        <v>67</v>
      </c>
      <c r="D24" s="13"/>
      <c r="E24" s="14"/>
      <c r="F24" s="14"/>
      <c r="G24" s="14"/>
      <c r="H24" s="14"/>
      <c r="I24" s="14"/>
      <c r="J24" s="14"/>
      <c r="K24" s="15"/>
    </row>
    <row r="25" spans="1:11">
      <c r="A25" s="16" t="s">
        <v>81</v>
      </c>
      <c r="B25" s="17" t="s">
        <v>80</v>
      </c>
      <c r="C25" s="17" t="s">
        <v>67</v>
      </c>
      <c r="D25" s="17"/>
      <c r="E25" s="18"/>
      <c r="F25" s="18"/>
      <c r="G25" s="18"/>
      <c r="H25" s="18"/>
      <c r="I25" s="18"/>
      <c r="J25" s="18"/>
      <c r="K25" s="19"/>
    </row>
    <row r="26" spans="1:11">
      <c r="A26" s="12" t="s">
        <v>84</v>
      </c>
      <c r="B26" s="13" t="s">
        <v>83</v>
      </c>
      <c r="C26" s="13" t="s">
        <v>67</v>
      </c>
      <c r="D26" s="13"/>
      <c r="E26" s="14"/>
      <c r="F26" s="14"/>
      <c r="G26" s="14"/>
      <c r="H26" s="14"/>
      <c r="I26" s="14"/>
      <c r="J26" s="14"/>
      <c r="K26" s="15"/>
    </row>
    <row r="27" spans="1:11">
      <c r="A27" s="16" t="s">
        <v>87</v>
      </c>
      <c r="B27" s="17" t="s">
        <v>86</v>
      </c>
      <c r="C27" s="17" t="s">
        <v>67</v>
      </c>
      <c r="D27" s="17"/>
      <c r="E27" s="18"/>
      <c r="F27" s="18"/>
      <c r="G27" s="18"/>
      <c r="H27" s="18"/>
      <c r="I27" s="18"/>
      <c r="J27" s="18"/>
      <c r="K27" s="19"/>
    </row>
    <row r="28" spans="1:11">
      <c r="A28" s="12" t="s">
        <v>142</v>
      </c>
      <c r="B28" s="13" t="s">
        <v>143</v>
      </c>
      <c r="C28" s="13" t="s">
        <v>67</v>
      </c>
      <c r="D28" s="13"/>
      <c r="E28" s="14"/>
      <c r="F28" s="14"/>
      <c r="G28" s="14"/>
      <c r="H28" s="14"/>
      <c r="I28" s="14"/>
      <c r="J28" s="14"/>
      <c r="K28" s="15"/>
    </row>
    <row r="29" spans="1:11">
      <c r="A29" s="16" t="s">
        <v>90</v>
      </c>
      <c r="B29" s="17" t="s">
        <v>89</v>
      </c>
      <c r="C29" s="17" t="s">
        <v>67</v>
      </c>
      <c r="D29" s="17"/>
      <c r="E29" s="18"/>
      <c r="F29" s="18"/>
      <c r="G29" s="18"/>
      <c r="H29" s="18"/>
      <c r="I29" s="18"/>
      <c r="J29" s="18"/>
      <c r="K29" s="19"/>
    </row>
    <row r="30" spans="1:11">
      <c r="A30" s="12" t="s">
        <v>93</v>
      </c>
      <c r="B30" s="13" t="s">
        <v>92</v>
      </c>
      <c r="C30" s="13" t="s">
        <v>95</v>
      </c>
      <c r="D30" s="13"/>
      <c r="E30" s="14"/>
      <c r="F30" s="14"/>
      <c r="G30" s="14"/>
      <c r="H30" s="14"/>
      <c r="I30" s="14"/>
      <c r="J30" s="14"/>
      <c r="K30" s="15"/>
    </row>
    <row r="31" spans="1:11">
      <c r="A31" s="16" t="s">
        <v>97</v>
      </c>
      <c r="B31" s="17" t="s">
        <v>96</v>
      </c>
      <c r="C31" s="17" t="s">
        <v>96</v>
      </c>
      <c r="D31" s="17"/>
      <c r="E31" s="18"/>
      <c r="F31" s="18"/>
      <c r="G31" s="18"/>
      <c r="H31" s="18"/>
      <c r="I31" s="18"/>
      <c r="J31" s="18"/>
      <c r="K31" s="19"/>
    </row>
    <row r="32" spans="1:11">
      <c r="A32" s="12" t="s">
        <v>100</v>
      </c>
      <c r="B32" s="13" t="s">
        <v>99</v>
      </c>
      <c r="C32" s="13" t="s">
        <v>102</v>
      </c>
      <c r="D32" s="13"/>
      <c r="E32" s="14"/>
      <c r="F32" s="14"/>
      <c r="G32" s="14"/>
      <c r="H32" s="14"/>
      <c r="I32" s="14"/>
      <c r="J32" s="14"/>
      <c r="K32" s="15"/>
    </row>
    <row r="33" spans="1:11">
      <c r="A33" s="16" t="s">
        <v>104</v>
      </c>
      <c r="B33" s="17" t="s">
        <v>103</v>
      </c>
      <c r="C33" s="17" t="s">
        <v>106</v>
      </c>
      <c r="D33" s="17"/>
      <c r="E33" s="18"/>
      <c r="F33" s="18"/>
      <c r="G33" s="18"/>
      <c r="H33" s="18"/>
      <c r="I33" s="18"/>
      <c r="J33" s="18"/>
      <c r="K33" s="19"/>
    </row>
    <row r="34" spans="1:11">
      <c r="A34" s="12" t="s">
        <v>144</v>
      </c>
      <c r="B34" s="13" t="s">
        <v>145</v>
      </c>
      <c r="C34" s="13" t="s">
        <v>145</v>
      </c>
      <c r="D34" s="13"/>
      <c r="E34" s="14"/>
      <c r="F34" s="14"/>
      <c r="G34" s="14"/>
      <c r="H34" s="14"/>
      <c r="I34" s="14"/>
      <c r="J34" s="14"/>
      <c r="K34" s="15"/>
    </row>
    <row r="35" spans="1:11">
      <c r="A35" s="16" t="s">
        <v>108</v>
      </c>
      <c r="B35" s="17" t="s">
        <v>107</v>
      </c>
      <c r="C35" s="17" t="s">
        <v>110</v>
      </c>
      <c r="D35" s="17"/>
      <c r="E35" s="18"/>
      <c r="F35" s="18"/>
      <c r="G35" s="18"/>
      <c r="H35" s="18"/>
      <c r="I35" s="18"/>
      <c r="J35" s="18"/>
      <c r="K35" s="19"/>
    </row>
  </sheetData>
  <printOptions horizontalCentered="1" verticalCentered="1"/>
  <pageMargins left="0" right="0" top="0" bottom="0" header="0" footer="0"/>
  <pageSetup paperSize="1" pageOrder="overThenDown" orientation="portrait" horizont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14" sqref="B14"/>
    </sheetView>
  </sheetViews>
  <sheetFormatPr defaultColWidth="8.88571428571429" defaultRowHeight="12.75" outlineLevelCol="1"/>
  <cols>
    <col min="1" max="1" width="30.3333333333333" style="2" customWidth="1"/>
    <col min="2" max="2" width="108.552380952381" style="2" customWidth="1"/>
  </cols>
  <sheetData>
    <row r="1" s="1" customFormat="1" ht="17.25" customHeight="1" spans="1:2">
      <c r="A1" s="3" t="s">
        <v>146</v>
      </c>
      <c r="B1" s="74" t="s">
        <v>147</v>
      </c>
    </row>
    <row r="2" s="1" customFormat="1" ht="17.25" customHeight="1" spans="1:2">
      <c r="A2" s="5" t="s">
        <v>148</v>
      </c>
      <c r="B2" s="75" t="s">
        <v>149</v>
      </c>
    </row>
    <row r="3" s="1" customFormat="1" ht="17.25" customHeight="1" spans="1:2">
      <c r="A3" s="7" t="s">
        <v>150</v>
      </c>
      <c r="B3" s="76" t="s">
        <v>151</v>
      </c>
    </row>
    <row r="4" s="1" customFormat="1" ht="17.25" customHeight="1" spans="1:2">
      <c r="A4" s="5" t="s">
        <v>152</v>
      </c>
      <c r="B4" s="75" t="s">
        <v>149</v>
      </c>
    </row>
    <row r="5" s="1" customFormat="1" ht="17.25" customHeight="1" spans="1:2">
      <c r="A5" s="7" t="s">
        <v>153</v>
      </c>
      <c r="B5" s="76" t="s">
        <v>147</v>
      </c>
    </row>
    <row r="6" s="1" customFormat="1" ht="17.25" customHeight="1" spans="1:2">
      <c r="A6" s="5" t="s">
        <v>154</v>
      </c>
      <c r="B6" s="75" t="s">
        <v>1</v>
      </c>
    </row>
    <row r="7" s="1" customFormat="1" ht="17.25" customHeight="1" spans="1:2">
      <c r="A7" s="7" t="s">
        <v>155</v>
      </c>
      <c r="B7" s="76" t="s">
        <v>156</v>
      </c>
    </row>
    <row r="8" s="1" customFormat="1" ht="17.25" customHeight="1" spans="1:2">
      <c r="A8" s="5" t="s">
        <v>157</v>
      </c>
      <c r="B8" s="75" t="s">
        <v>6</v>
      </c>
    </row>
    <row r="9" s="1" customFormat="1" ht="17.25" customHeight="1" spans="1:2">
      <c r="A9" s="7" t="s">
        <v>158</v>
      </c>
      <c r="B9" s="76" t="s">
        <v>5</v>
      </c>
    </row>
    <row r="10" s="1" customFormat="1" ht="17.25" customHeight="1" spans="1:2">
      <c r="A10" s="5" t="s">
        <v>159</v>
      </c>
      <c r="B10" s="75" t="s">
        <v>160</v>
      </c>
    </row>
    <row r="11" s="1" customFormat="1" ht="17.25" customHeight="1" spans="1:2">
      <c r="A11" s="7" t="s">
        <v>161</v>
      </c>
      <c r="B11" s="76" t="s">
        <v>162</v>
      </c>
    </row>
    <row r="12" s="1" customFormat="1" ht="17.25" customHeight="1" spans="1:2">
      <c r="A12" s="5" t="s">
        <v>163</v>
      </c>
      <c r="B12" s="75" t="s">
        <v>164</v>
      </c>
    </row>
    <row r="13" s="1" customFormat="1" ht="17.25" customHeight="1" spans="1:2">
      <c r="A13" s="7" t="s">
        <v>165</v>
      </c>
      <c r="B13" s="76" t="s">
        <v>166</v>
      </c>
    </row>
    <row r="14" s="1" customFormat="1" ht="17.25" customHeight="1" spans="1:2">
      <c r="A14" s="9" t="s">
        <v>167</v>
      </c>
      <c r="B14" s="77" t="s">
        <v>162</v>
      </c>
    </row>
  </sheetData>
  <pageMargins left="0.75" right="0.75" top="1" bottom="1" header="0.5" footer="0.5"/>
  <pageSetup paperSize="1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Altium Limited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Part List Report</vt:lpstr>
      <vt:lpstr>All Data</vt:lpstr>
      <vt:lpstr>Metric</vt:lpstr>
      <vt:lpstr>Imperial</vt:lpstr>
      <vt:lpstr>Project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 Hryhorian</dc:creator>
  <cp:lastModifiedBy>执芩任飞鸟</cp:lastModifiedBy>
  <dcterms:created xsi:type="dcterms:W3CDTF">2002-11-05T15:28:00Z</dcterms:created>
  <cp:lastPrinted>2002-11-05T15:26:00Z</cp:lastPrinted>
  <dcterms:modified xsi:type="dcterms:W3CDTF">2026-05-21T07:25:28Z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F08CB2C258F84DA28E789CA007212728_13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